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1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ATELIER\Saison 26H\1EVA32\"/>
    </mc:Choice>
  </mc:AlternateContent>
  <xr:revisionPtr revIDLastSave="0" documentId="13_ncr:1_{308327DB-6EC4-43D7-B343-7FCC1F82D6AD}" xr6:coauthVersionLast="47" xr6:coauthVersionMax="47" xr10:uidLastSave="{00000000-0000-0000-0000-000000000000}"/>
  <bookViews>
    <workbookView xWindow="-120" yWindow="-120" windowWidth="29040" windowHeight="15840" tabRatio="797" activeTab="9" xr2:uid="{00000000-000D-0000-FFFF-FFFF00000000}"/>
  </bookViews>
  <sheets>
    <sheet name="CROQUIS " sheetId="55" r:id="rId1"/>
    <sheet name="FICHE NORMALISATION" sheetId="56" state="hidden" r:id="rId2"/>
    <sheet name="FICHE COMMENTAIRES" sheetId="65" r:id="rId3"/>
    <sheet name="Fiche technique " sheetId="58" r:id="rId4"/>
    <sheet name="Mesure&amp;Grada - 36" sheetId="67" state="hidden" r:id="rId5"/>
    <sheet name="Mesure&amp;Grada - S" sheetId="68" state="hidden" r:id="rId6"/>
    <sheet name="Mesure&amp;Grada - XS.S M.L" sheetId="69" r:id="rId7"/>
    <sheet name="Prise Mesures " sheetId="64" r:id="rId8"/>
    <sheet name="BOM" sheetId="66" state="hidden" r:id="rId9"/>
    <sheet name="FCM" sheetId="60" r:id="rId10"/>
    <sheet name="Labelling " sheetId="61" r:id="rId11"/>
  </sheets>
  <externalReferences>
    <externalReference r:id="rId12"/>
    <externalReference r:id="rId13"/>
  </externalReferences>
  <definedNames>
    <definedName name="_xlnm.Print_Area" localSheetId="8">BOM!$A$1:$H$68</definedName>
    <definedName name="_xlnm.Print_Area" localSheetId="0">'CROQUIS '!$A$2:$H$54</definedName>
    <definedName name="_xlnm.Print_Area" localSheetId="9">FCM!$A$1:$M$110</definedName>
    <definedName name="_xlnm.Print_Area" localSheetId="2">'FICHE COMMENTAIRES'!$K$2:$AP$55</definedName>
    <definedName name="_xlnm.Print_Area" localSheetId="1">'FICHE NORMALISATION'!$A$1:$J$54</definedName>
    <definedName name="_xlnm.Print_Area" localSheetId="3">'Fiche technique '!$A$1:$F$58</definedName>
    <definedName name="_xlnm.Print_Area" localSheetId="10">'Labelling '!$A$1:$P$49</definedName>
    <definedName name="_xlnm.Print_Area" localSheetId="4">'Mesure&amp;Grada - 36'!$A$1:$Z$45</definedName>
    <definedName name="_xlnm.Print_Area" localSheetId="5">'Mesure&amp;Grada - S'!$A$1:$AA$45</definedName>
    <definedName name="_xlnm.Print_Area" localSheetId="6">'Mesure&amp;Grada - XS.S M.L'!$A$1:$V$45</definedName>
    <definedName name="_xlnm.Print_Area" localSheetId="7">'Prise Mesures '!$A$1:$C$26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58" l="1"/>
  <c r="U24" i="69"/>
  <c r="A3" i="58"/>
  <c r="P40" i="69"/>
  <c r="P41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23" i="69"/>
  <c r="S24" i="69"/>
  <c r="S25" i="69"/>
  <c r="S26" i="69"/>
  <c r="S27" i="69"/>
  <c r="S28" i="69"/>
  <c r="S29" i="69"/>
  <c r="S30" i="69"/>
  <c r="S31" i="69"/>
  <c r="S32" i="69"/>
  <c r="S33" i="69"/>
  <c r="S34" i="69"/>
  <c r="S35" i="69"/>
  <c r="S36" i="69"/>
  <c r="S37" i="69"/>
  <c r="S38" i="69"/>
  <c r="S39" i="69"/>
  <c r="S40" i="69"/>
  <c r="S41" i="69"/>
  <c r="S23" i="69"/>
  <c r="H3" i="60"/>
  <c r="C3" i="60"/>
  <c r="A3" i="60"/>
  <c r="A3" i="66"/>
  <c r="E3" i="66"/>
  <c r="C3" i="66"/>
  <c r="F1" i="68"/>
  <c r="T1" i="68" s="1"/>
  <c r="H4" i="68"/>
  <c r="T4" i="68" s="1"/>
  <c r="A4" i="68"/>
  <c r="J4" i="68" s="1"/>
  <c r="C4" i="68"/>
  <c r="L4" i="68" s="1"/>
  <c r="H4" i="67"/>
  <c r="T4" i="67" s="1"/>
  <c r="F1" i="67"/>
  <c r="T1" i="67" s="1"/>
  <c r="C4" i="67"/>
  <c r="L4" i="67" s="1"/>
  <c r="A4" i="67"/>
  <c r="J4" i="67" s="1"/>
  <c r="H4" i="69"/>
  <c r="C4" i="69"/>
  <c r="L4" i="69" s="1"/>
  <c r="A4" i="69"/>
  <c r="J4" i="69" s="1"/>
  <c r="F1" i="69"/>
  <c r="Q28" i="67"/>
  <c r="P28" i="67" s="1"/>
  <c r="S28" i="67"/>
  <c r="W28" i="67"/>
  <c r="P29" i="67"/>
  <c r="Q29" i="67"/>
  <c r="S29" i="67"/>
  <c r="T29" i="67"/>
  <c r="U29" i="67" s="1"/>
  <c r="X29" i="67" s="1"/>
  <c r="Y29" i="67" s="1"/>
  <c r="W29" i="67"/>
  <c r="J24" i="67"/>
  <c r="J25" i="67"/>
  <c r="J26" i="67"/>
  <c r="J27" i="67"/>
  <c r="J28" i="67"/>
  <c r="J29" i="67"/>
  <c r="J30" i="67"/>
  <c r="J31" i="67"/>
  <c r="J32" i="67"/>
  <c r="J33" i="67"/>
  <c r="J34" i="67"/>
  <c r="J35" i="67"/>
  <c r="J36" i="67"/>
  <c r="J37" i="67"/>
  <c r="J38" i="67"/>
  <c r="J40" i="67"/>
  <c r="J41" i="67"/>
  <c r="J42" i="67"/>
  <c r="J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1" i="67"/>
  <c r="K42" i="67"/>
  <c r="K23" i="67"/>
  <c r="Y29" i="68"/>
  <c r="Z29" i="68" s="1"/>
  <c r="T28" i="68"/>
  <c r="U28" i="68" s="1"/>
  <c r="X28" i="68" s="1"/>
  <c r="T29" i="68"/>
  <c r="U29" i="68" s="1"/>
  <c r="X29" i="68" s="1"/>
  <c r="P28" i="68"/>
  <c r="P29" i="68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1" i="69"/>
  <c r="K42" i="69"/>
  <c r="K23" i="69"/>
  <c r="B24" i="69"/>
  <c r="B25" i="69"/>
  <c r="B26" i="69"/>
  <c r="B27" i="69"/>
  <c r="B28" i="69"/>
  <c r="B29" i="69"/>
  <c r="B30" i="69"/>
  <c r="B31" i="69"/>
  <c r="B32" i="69"/>
  <c r="B33" i="69"/>
  <c r="B34" i="69"/>
  <c r="B35" i="69"/>
  <c r="B36" i="69"/>
  <c r="B37" i="69"/>
  <c r="B38" i="69"/>
  <c r="B39" i="69"/>
  <c r="B40" i="69"/>
  <c r="B41" i="69"/>
  <c r="B42" i="69"/>
  <c r="B23" i="69"/>
  <c r="A24" i="69"/>
  <c r="A25" i="69"/>
  <c r="J25" i="69" s="1"/>
  <c r="A26" i="69"/>
  <c r="J26" i="69" s="1"/>
  <c r="A27" i="69"/>
  <c r="A28" i="69"/>
  <c r="A29" i="69"/>
  <c r="A30" i="69"/>
  <c r="A31" i="69"/>
  <c r="J31" i="69" s="1"/>
  <c r="A32" i="69"/>
  <c r="J32" i="69" s="1"/>
  <c r="A33" i="69"/>
  <c r="A34" i="69"/>
  <c r="A35" i="69"/>
  <c r="A36" i="69"/>
  <c r="J36" i="69" s="1"/>
  <c r="A37" i="69"/>
  <c r="A38" i="69"/>
  <c r="A39" i="69"/>
  <c r="J39" i="69" s="1"/>
  <c r="A40" i="69"/>
  <c r="J40" i="69" s="1"/>
  <c r="A41" i="69"/>
  <c r="A42" i="69"/>
  <c r="J42" i="69" s="1"/>
  <c r="A23" i="69"/>
  <c r="J23" i="69" s="1"/>
  <c r="A24" i="68"/>
  <c r="A25" i="68"/>
  <c r="A26" i="68"/>
  <c r="A27" i="68"/>
  <c r="A28" i="68"/>
  <c r="A29" i="68"/>
  <c r="A30" i="68"/>
  <c r="A31" i="68"/>
  <c r="A32" i="68"/>
  <c r="A33" i="68"/>
  <c r="A34" i="68"/>
  <c r="A35" i="68"/>
  <c r="A36" i="68"/>
  <c r="A37" i="68"/>
  <c r="A38" i="68"/>
  <c r="A39" i="68"/>
  <c r="A40" i="68"/>
  <c r="A41" i="68"/>
  <c r="A42" i="68"/>
  <c r="B24" i="68"/>
  <c r="K24" i="68" s="1"/>
  <c r="B25" i="68"/>
  <c r="B26" i="68"/>
  <c r="K26" i="68" s="1"/>
  <c r="B27" i="68"/>
  <c r="B28" i="68"/>
  <c r="B29" i="68"/>
  <c r="B30" i="68"/>
  <c r="B31" i="68"/>
  <c r="B32" i="68"/>
  <c r="K32" i="68" s="1"/>
  <c r="B33" i="68"/>
  <c r="B34" i="68"/>
  <c r="B35" i="68"/>
  <c r="B36" i="68"/>
  <c r="B37" i="68"/>
  <c r="B38" i="68"/>
  <c r="B39" i="68"/>
  <c r="K39" i="68" s="1"/>
  <c r="B40" i="68"/>
  <c r="K40" i="68" s="1"/>
  <c r="B41" i="68"/>
  <c r="B42" i="68"/>
  <c r="B23" i="68"/>
  <c r="A23" i="68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A24" i="67"/>
  <c r="A25" i="67"/>
  <c r="A26" i="67"/>
  <c r="A27" i="67"/>
  <c r="A28" i="67"/>
  <c r="A29" i="67"/>
  <c r="A30" i="67"/>
  <c r="A31" i="67"/>
  <c r="A32" i="67"/>
  <c r="A33" i="67"/>
  <c r="A34" i="67"/>
  <c r="A35" i="67"/>
  <c r="A36" i="67"/>
  <c r="A37" i="67"/>
  <c r="A38" i="67"/>
  <c r="A39" i="67"/>
  <c r="J39" i="67" s="1"/>
  <c r="A40" i="67"/>
  <c r="A41" i="67"/>
  <c r="A42" i="67"/>
  <c r="A23" i="67"/>
  <c r="B23" i="67"/>
  <c r="U42" i="69"/>
  <c r="R42" i="69"/>
  <c r="P42" i="69"/>
  <c r="S42" i="69" s="1"/>
  <c r="I42" i="69"/>
  <c r="O42" i="69" s="1"/>
  <c r="H42" i="69"/>
  <c r="U41" i="69"/>
  <c r="R41" i="69"/>
  <c r="O41" i="69"/>
  <c r="I41" i="69"/>
  <c r="H41" i="69"/>
  <c r="J41" i="69"/>
  <c r="U40" i="69"/>
  <c r="R40" i="69"/>
  <c r="O40" i="69"/>
  <c r="I40" i="69"/>
  <c r="H40" i="69"/>
  <c r="U39" i="69"/>
  <c r="R39" i="69"/>
  <c r="I39" i="69"/>
  <c r="O39" i="69" s="1"/>
  <c r="U38" i="69"/>
  <c r="R38" i="69"/>
  <c r="O38" i="69"/>
  <c r="I38" i="69"/>
  <c r="J38" i="69"/>
  <c r="U37" i="69"/>
  <c r="R37" i="69"/>
  <c r="I37" i="69"/>
  <c r="O37" i="69" s="1"/>
  <c r="J37" i="69"/>
  <c r="U36" i="69"/>
  <c r="R36" i="69"/>
  <c r="I36" i="69"/>
  <c r="O36" i="69" s="1"/>
  <c r="H36" i="69"/>
  <c r="U35" i="69"/>
  <c r="R35" i="69"/>
  <c r="O35" i="69"/>
  <c r="J35" i="69"/>
  <c r="I35" i="69"/>
  <c r="H35" i="69"/>
  <c r="U34" i="69"/>
  <c r="R34" i="69"/>
  <c r="I34" i="69"/>
  <c r="O34" i="69" s="1"/>
  <c r="H34" i="69"/>
  <c r="J34" i="69"/>
  <c r="U33" i="69"/>
  <c r="R33" i="69"/>
  <c r="I33" i="69"/>
  <c r="O33" i="69" s="1"/>
  <c r="H33" i="69"/>
  <c r="J33" i="69"/>
  <c r="U32" i="69"/>
  <c r="R32" i="69"/>
  <c r="O32" i="69"/>
  <c r="H32" i="69"/>
  <c r="U31" i="69"/>
  <c r="R31" i="69"/>
  <c r="O31" i="69"/>
  <c r="I31" i="69"/>
  <c r="H31" i="69"/>
  <c r="U30" i="69"/>
  <c r="R30" i="69"/>
  <c r="I30" i="69"/>
  <c r="O30" i="69" s="1"/>
  <c r="H30" i="69"/>
  <c r="J30" i="69"/>
  <c r="U29" i="69"/>
  <c r="R29" i="69"/>
  <c r="O29" i="69"/>
  <c r="I29" i="69"/>
  <c r="H29" i="69"/>
  <c r="J29" i="69"/>
  <c r="U28" i="69"/>
  <c r="R28" i="69"/>
  <c r="O28" i="69"/>
  <c r="I28" i="69"/>
  <c r="H28" i="69"/>
  <c r="J28" i="69"/>
  <c r="U27" i="69"/>
  <c r="R27" i="69"/>
  <c r="O27" i="69"/>
  <c r="J27" i="69"/>
  <c r="H27" i="69"/>
  <c r="U26" i="69"/>
  <c r="R26" i="69"/>
  <c r="O26" i="69"/>
  <c r="H26" i="69"/>
  <c r="U25" i="69"/>
  <c r="R25" i="69"/>
  <c r="O25" i="69"/>
  <c r="H25" i="69"/>
  <c r="J24" i="69"/>
  <c r="U23" i="69"/>
  <c r="R23" i="69"/>
  <c r="H23" i="69"/>
  <c r="W42" i="68"/>
  <c r="U42" i="68"/>
  <c r="Y42" i="68" s="1"/>
  <c r="Z42" i="68" s="1"/>
  <c r="T42" i="68"/>
  <c r="S42" i="68"/>
  <c r="Q42" i="68"/>
  <c r="P42" i="68" s="1"/>
  <c r="J42" i="68"/>
  <c r="I42" i="68"/>
  <c r="O42" i="68" s="1"/>
  <c r="H42" i="68"/>
  <c r="K42" i="68"/>
  <c r="W41" i="68"/>
  <c r="U41" i="68"/>
  <c r="Y41" i="68" s="1"/>
  <c r="Z41" i="68" s="1"/>
  <c r="T41" i="68"/>
  <c r="S41" i="68"/>
  <c r="Q41" i="68"/>
  <c r="P41" i="68" s="1"/>
  <c r="J41" i="68"/>
  <c r="I41" i="68"/>
  <c r="O41" i="68" s="1"/>
  <c r="H41" i="68"/>
  <c r="K41" i="68"/>
  <c r="W40" i="68"/>
  <c r="U40" i="68"/>
  <c r="Y40" i="68" s="1"/>
  <c r="Z40" i="68" s="1"/>
  <c r="T40" i="68"/>
  <c r="S40" i="68"/>
  <c r="Q40" i="68"/>
  <c r="P40" i="68" s="1"/>
  <c r="J40" i="68"/>
  <c r="I40" i="68"/>
  <c r="O40" i="68" s="1"/>
  <c r="H40" i="68"/>
  <c r="W39" i="68"/>
  <c r="U39" i="68"/>
  <c r="Y39" i="68" s="1"/>
  <c r="Z39" i="68" s="1"/>
  <c r="T39" i="68"/>
  <c r="S39" i="68"/>
  <c r="Q39" i="68"/>
  <c r="P39" i="68" s="1"/>
  <c r="J39" i="68"/>
  <c r="I39" i="68"/>
  <c r="O39" i="68" s="1"/>
  <c r="H39" i="68"/>
  <c r="W38" i="68"/>
  <c r="U38" i="68"/>
  <c r="Y38" i="68" s="1"/>
  <c r="Z38" i="68" s="1"/>
  <c r="T38" i="68"/>
  <c r="S38" i="68"/>
  <c r="Q38" i="68"/>
  <c r="P38" i="68" s="1"/>
  <c r="J38" i="68"/>
  <c r="I38" i="68"/>
  <c r="O38" i="68" s="1"/>
  <c r="K38" i="68"/>
  <c r="W37" i="68"/>
  <c r="T37" i="68"/>
  <c r="U37" i="68" s="1"/>
  <c r="S37" i="68"/>
  <c r="Q37" i="68"/>
  <c r="P37" i="68" s="1"/>
  <c r="J37" i="68"/>
  <c r="I37" i="68"/>
  <c r="O37" i="68" s="1"/>
  <c r="H37" i="68"/>
  <c r="K37" i="68"/>
  <c r="W36" i="68"/>
  <c r="T36" i="68"/>
  <c r="U36" i="68" s="1"/>
  <c r="S36" i="68"/>
  <c r="Q36" i="68"/>
  <c r="P36" i="68" s="1"/>
  <c r="J36" i="68"/>
  <c r="I36" i="68"/>
  <c r="O36" i="68" s="1"/>
  <c r="H36" i="68"/>
  <c r="K36" i="68"/>
  <c r="W35" i="68"/>
  <c r="T35" i="68"/>
  <c r="U35" i="68" s="1"/>
  <c r="S35" i="68"/>
  <c r="Q35" i="68"/>
  <c r="P35" i="68" s="1"/>
  <c r="J35" i="68"/>
  <c r="I35" i="68"/>
  <c r="O35" i="68" s="1"/>
  <c r="H35" i="68"/>
  <c r="K35" i="68"/>
  <c r="W34" i="68"/>
  <c r="T34" i="68"/>
  <c r="U34" i="68" s="1"/>
  <c r="S34" i="68"/>
  <c r="Q34" i="68"/>
  <c r="P34" i="68" s="1"/>
  <c r="J34" i="68"/>
  <c r="I34" i="68"/>
  <c r="O34" i="68" s="1"/>
  <c r="K34" i="68"/>
  <c r="W33" i="68"/>
  <c r="T33" i="68"/>
  <c r="U33" i="68" s="1"/>
  <c r="S33" i="68"/>
  <c r="Q33" i="68"/>
  <c r="P33" i="68" s="1"/>
  <c r="J33" i="68"/>
  <c r="I33" i="68"/>
  <c r="O33" i="68" s="1"/>
  <c r="K33" i="68"/>
  <c r="W32" i="68"/>
  <c r="S32" i="68"/>
  <c r="Q32" i="68"/>
  <c r="P32" i="68" s="1"/>
  <c r="O32" i="68"/>
  <c r="J32" i="68"/>
  <c r="I32" i="68"/>
  <c r="W31" i="68"/>
  <c r="S31" i="68"/>
  <c r="Q31" i="68"/>
  <c r="T31" i="68" s="1"/>
  <c r="U31" i="68" s="1"/>
  <c r="P31" i="68"/>
  <c r="O31" i="68"/>
  <c r="K31" i="68"/>
  <c r="J31" i="68"/>
  <c r="I31" i="68"/>
  <c r="H31" i="68"/>
  <c r="W30" i="68"/>
  <c r="S30" i="68"/>
  <c r="Q30" i="68"/>
  <c r="T30" i="68" s="1"/>
  <c r="U30" i="68" s="1"/>
  <c r="P30" i="68"/>
  <c r="O30" i="68"/>
  <c r="K30" i="68"/>
  <c r="J30" i="68"/>
  <c r="I30" i="68"/>
  <c r="H30" i="68"/>
  <c r="W29" i="68"/>
  <c r="S29" i="68"/>
  <c r="Q29" i="68"/>
  <c r="J29" i="68"/>
  <c r="I29" i="68"/>
  <c r="O29" i="68" s="1"/>
  <c r="H29" i="68"/>
  <c r="K29" i="68"/>
  <c r="W28" i="68"/>
  <c r="S28" i="68"/>
  <c r="Q28" i="68"/>
  <c r="O28" i="68"/>
  <c r="K28" i="68"/>
  <c r="J28" i="68"/>
  <c r="I28" i="68"/>
  <c r="H28" i="68"/>
  <c r="Z27" i="68"/>
  <c r="X27" i="68"/>
  <c r="W27" i="68"/>
  <c r="S27" i="68"/>
  <c r="Q27" i="68"/>
  <c r="J27" i="68"/>
  <c r="I27" i="68"/>
  <c r="O27" i="68" s="1"/>
  <c r="H27" i="68"/>
  <c r="K27" i="68"/>
  <c r="W26" i="68"/>
  <c r="U26" i="68"/>
  <c r="Y26" i="68" s="1"/>
  <c r="Z26" i="68" s="1"/>
  <c r="T26" i="68"/>
  <c r="S26" i="68"/>
  <c r="Q26" i="68"/>
  <c r="P26" i="68" s="1"/>
  <c r="J26" i="68"/>
  <c r="I26" i="68"/>
  <c r="O26" i="68" s="1"/>
  <c r="H26" i="68"/>
  <c r="W25" i="68"/>
  <c r="U25" i="68"/>
  <c r="Y25" i="68" s="1"/>
  <c r="Z25" i="68" s="1"/>
  <c r="T25" i="68"/>
  <c r="S25" i="68"/>
  <c r="Q25" i="68"/>
  <c r="P25" i="68" s="1"/>
  <c r="J25" i="68"/>
  <c r="I25" i="68"/>
  <c r="O25" i="68" s="1"/>
  <c r="H25" i="68"/>
  <c r="K25" i="68"/>
  <c r="W24" i="68"/>
  <c r="U24" i="68"/>
  <c r="Y24" i="68" s="1"/>
  <c r="Z24" i="68" s="1"/>
  <c r="T24" i="68"/>
  <c r="S24" i="68"/>
  <c r="Q24" i="68"/>
  <c r="P24" i="68" s="1"/>
  <c r="J24" i="68"/>
  <c r="I24" i="68"/>
  <c r="O24" i="68" s="1"/>
  <c r="H24" i="68"/>
  <c r="W23" i="68"/>
  <c r="U23" i="68"/>
  <c r="Y23" i="68" s="1"/>
  <c r="Z23" i="68" s="1"/>
  <c r="T23" i="68"/>
  <c r="S23" i="68"/>
  <c r="Q23" i="68"/>
  <c r="P23" i="68" s="1"/>
  <c r="J23" i="68"/>
  <c r="I23" i="68"/>
  <c r="O23" i="68" s="1"/>
  <c r="H23" i="68"/>
  <c r="K23" i="68"/>
  <c r="P4" i="68"/>
  <c r="W42" i="67"/>
  <c r="U42" i="67"/>
  <c r="X42" i="67" s="1"/>
  <c r="Y42" i="67" s="1"/>
  <c r="T42" i="67"/>
  <c r="S42" i="67"/>
  <c r="Q42" i="67"/>
  <c r="P42" i="67" s="1"/>
  <c r="I42" i="67"/>
  <c r="O42" i="67" s="1"/>
  <c r="H42" i="67"/>
  <c r="W41" i="67"/>
  <c r="T41" i="67"/>
  <c r="U41" i="67" s="1"/>
  <c r="X41" i="67" s="1"/>
  <c r="Y41" i="67" s="1"/>
  <c r="S41" i="67"/>
  <c r="Q41" i="67"/>
  <c r="P41" i="67" s="1"/>
  <c r="I41" i="67"/>
  <c r="O41" i="67" s="1"/>
  <c r="H41" i="67"/>
  <c r="W40" i="67"/>
  <c r="T40" i="67"/>
  <c r="U40" i="67" s="1"/>
  <c r="X40" i="67" s="1"/>
  <c r="Y40" i="67" s="1"/>
  <c r="S40" i="67"/>
  <c r="Q40" i="67"/>
  <c r="P40" i="67"/>
  <c r="I40" i="67"/>
  <c r="O40" i="67" s="1"/>
  <c r="H40" i="67"/>
  <c r="W39" i="67"/>
  <c r="S39" i="67"/>
  <c r="Q39" i="67"/>
  <c r="P39" i="67" s="1"/>
  <c r="I39" i="67"/>
  <c r="O39" i="67" s="1"/>
  <c r="H39" i="67"/>
  <c r="W38" i="67"/>
  <c r="S38" i="67"/>
  <c r="Q38" i="67"/>
  <c r="T38" i="67" s="1"/>
  <c r="U38" i="67" s="1"/>
  <c r="X38" i="67" s="1"/>
  <c r="Y38" i="67" s="1"/>
  <c r="P38" i="67"/>
  <c r="I38" i="67"/>
  <c r="O38" i="67" s="1"/>
  <c r="H38" i="67"/>
  <c r="W37" i="67"/>
  <c r="S37" i="67"/>
  <c r="Q37" i="67"/>
  <c r="T37" i="67" s="1"/>
  <c r="U37" i="67" s="1"/>
  <c r="X37" i="67" s="1"/>
  <c r="Y37" i="67" s="1"/>
  <c r="P37" i="67"/>
  <c r="I37" i="67"/>
  <c r="O37" i="67" s="1"/>
  <c r="H37" i="67"/>
  <c r="X36" i="67"/>
  <c r="Y36" i="67" s="1"/>
  <c r="W36" i="67"/>
  <c r="U36" i="67"/>
  <c r="T36" i="67"/>
  <c r="S36" i="67"/>
  <c r="Q36" i="67"/>
  <c r="P36" i="67"/>
  <c r="I36" i="67"/>
  <c r="O36" i="67" s="1"/>
  <c r="H36" i="67"/>
  <c r="W35" i="67"/>
  <c r="T35" i="67"/>
  <c r="U35" i="67" s="1"/>
  <c r="X35" i="67" s="1"/>
  <c r="Y35" i="67" s="1"/>
  <c r="S35" i="67"/>
  <c r="Q35" i="67"/>
  <c r="P35" i="67"/>
  <c r="I35" i="67"/>
  <c r="O35" i="67" s="1"/>
  <c r="H35" i="67"/>
  <c r="W34" i="67"/>
  <c r="U34" i="67"/>
  <c r="X34" i="67" s="1"/>
  <c r="Y34" i="67" s="1"/>
  <c r="T34" i="67"/>
  <c r="S34" i="67"/>
  <c r="Q34" i="67"/>
  <c r="P34" i="67" s="1"/>
  <c r="I34" i="67"/>
  <c r="O34" i="67" s="1"/>
  <c r="H34" i="67"/>
  <c r="W33" i="67"/>
  <c r="T33" i="67"/>
  <c r="U33" i="67" s="1"/>
  <c r="X33" i="67" s="1"/>
  <c r="Y33" i="67" s="1"/>
  <c r="S33" i="67"/>
  <c r="Q33" i="67"/>
  <c r="P33" i="67" s="1"/>
  <c r="I33" i="67"/>
  <c r="O33" i="67" s="1"/>
  <c r="H33" i="67"/>
  <c r="W32" i="67"/>
  <c r="T32" i="67"/>
  <c r="U32" i="67" s="1"/>
  <c r="X32" i="67" s="1"/>
  <c r="Y32" i="67" s="1"/>
  <c r="S32" i="67"/>
  <c r="Q32" i="67"/>
  <c r="P32" i="67"/>
  <c r="I32" i="67"/>
  <c r="O32" i="67" s="1"/>
  <c r="H32" i="67"/>
  <c r="W31" i="67"/>
  <c r="S31" i="67"/>
  <c r="Q31" i="67"/>
  <c r="P31" i="67" s="1"/>
  <c r="O31" i="67"/>
  <c r="I31" i="67"/>
  <c r="H31" i="67"/>
  <c r="W30" i="67"/>
  <c r="S30" i="67"/>
  <c r="Q30" i="67"/>
  <c r="T30" i="67" s="1"/>
  <c r="U30" i="67" s="1"/>
  <c r="X30" i="67" s="1"/>
  <c r="Y30" i="67" s="1"/>
  <c r="P30" i="67"/>
  <c r="I30" i="67"/>
  <c r="O30" i="67" s="1"/>
  <c r="H30" i="67"/>
  <c r="I29" i="67"/>
  <c r="O29" i="67" s="1"/>
  <c r="H29" i="67"/>
  <c r="I28" i="67"/>
  <c r="O28" i="67" s="1"/>
  <c r="H28" i="67"/>
  <c r="Y27" i="67"/>
  <c r="S27" i="67"/>
  <c r="Q27" i="67"/>
  <c r="I27" i="67"/>
  <c r="O27" i="67" s="1"/>
  <c r="H27" i="67"/>
  <c r="W26" i="67"/>
  <c r="T26" i="67"/>
  <c r="U26" i="67" s="1"/>
  <c r="X26" i="67" s="1"/>
  <c r="Y26" i="67" s="1"/>
  <c r="S26" i="67"/>
  <c r="Q26" i="67"/>
  <c r="P26" i="67" s="1"/>
  <c r="I26" i="67"/>
  <c r="O26" i="67" s="1"/>
  <c r="H26" i="67"/>
  <c r="W25" i="67"/>
  <c r="S25" i="67"/>
  <c r="Q25" i="67"/>
  <c r="T25" i="67" s="1"/>
  <c r="U25" i="67" s="1"/>
  <c r="X25" i="67" s="1"/>
  <c r="Y25" i="67" s="1"/>
  <c r="I25" i="67"/>
  <c r="O25" i="67" s="1"/>
  <c r="H25" i="67"/>
  <c r="W24" i="67"/>
  <c r="T24" i="67"/>
  <c r="U24" i="67" s="1"/>
  <c r="X24" i="67" s="1"/>
  <c r="Y24" i="67" s="1"/>
  <c r="S24" i="67"/>
  <c r="Q24" i="67"/>
  <c r="P24" i="67"/>
  <c r="I24" i="67"/>
  <c r="O24" i="67" s="1"/>
  <c r="H24" i="67"/>
  <c r="W23" i="67"/>
  <c r="T23" i="67"/>
  <c r="U23" i="67" s="1"/>
  <c r="X23" i="67" s="1"/>
  <c r="Y23" i="67" s="1"/>
  <c r="S23" i="67"/>
  <c r="Q23" i="67"/>
  <c r="P23" i="67"/>
  <c r="I23" i="67"/>
  <c r="O23" i="67" s="1"/>
  <c r="H23" i="67"/>
  <c r="P4" i="67"/>
  <c r="T28" i="67" l="1"/>
  <c r="U28" i="67" s="1"/>
  <c r="X28" i="67" s="1"/>
  <c r="Y28" i="67" s="1"/>
  <c r="Y28" i="68"/>
  <c r="Z28" i="68" s="1"/>
  <c r="Y36" i="68"/>
  <c r="Z36" i="68" s="1"/>
  <c r="X36" i="68"/>
  <c r="Y37" i="68"/>
  <c r="Z37" i="68" s="1"/>
  <c r="X37" i="68"/>
  <c r="Y30" i="68"/>
  <c r="Z30" i="68" s="1"/>
  <c r="X30" i="68"/>
  <c r="Y34" i="68"/>
  <c r="Z34" i="68" s="1"/>
  <c r="X34" i="68"/>
  <c r="Y35" i="68"/>
  <c r="Z35" i="68" s="1"/>
  <c r="X35" i="68"/>
  <c r="Y33" i="68"/>
  <c r="Z33" i="68" s="1"/>
  <c r="X33" i="68"/>
  <c r="Y31" i="68"/>
  <c r="Z31" i="68" s="1"/>
  <c r="X31" i="68"/>
  <c r="T31" i="67"/>
  <c r="U31" i="67" s="1"/>
  <c r="X31" i="67" s="1"/>
  <c r="Y31" i="67" s="1"/>
  <c r="T39" i="67"/>
  <c r="U39" i="67" s="1"/>
  <c r="X39" i="67" s="1"/>
  <c r="Y39" i="67" s="1"/>
  <c r="X23" i="68"/>
  <c r="X24" i="68"/>
  <c r="X25" i="68"/>
  <c r="X26" i="68"/>
  <c r="T32" i="68"/>
  <c r="U32" i="68" s="1"/>
  <c r="X38" i="68"/>
  <c r="X39" i="68"/>
  <c r="X40" i="68"/>
  <c r="X41" i="68"/>
  <c r="X42" i="68"/>
  <c r="P25" i="67"/>
  <c r="Y32" i="68" l="1"/>
  <c r="Z32" i="68" s="1"/>
  <c r="X32" i="68"/>
  <c r="K5" i="65" l="1"/>
  <c r="Q2" i="65"/>
  <c r="R5" i="65"/>
  <c r="M5" i="65"/>
  <c r="D1" i="58"/>
  <c r="B3" i="58"/>
  <c r="H4" i="61"/>
  <c r="F1" i="61"/>
  <c r="C4" i="61"/>
  <c r="A4" i="61"/>
  <c r="I5" i="65" l="1"/>
  <c r="C5" i="65"/>
  <c r="A5" i="65"/>
  <c r="BF7" i="65"/>
  <c r="BD7" i="65"/>
  <c r="BF5" i="65"/>
  <c r="BA5" i="65"/>
  <c r="AY5" i="65"/>
  <c r="AX5" i="65"/>
  <c r="AS5" i="65"/>
  <c r="AQ5" i="65"/>
  <c r="AP5" i="65"/>
  <c r="AK5" i="65"/>
  <c r="AI5" i="65"/>
  <c r="AH5" i="65"/>
  <c r="AC5" i="65"/>
  <c r="AA5" i="65"/>
  <c r="Z5" i="65"/>
  <c r="U5" i="65"/>
  <c r="S5" i="65"/>
  <c r="Y2" i="65"/>
  <c r="AG2" i="65" s="1"/>
  <c r="AO2" i="65" s="1"/>
  <c r="AW2" i="65" s="1"/>
  <c r="BE2" i="65" s="1"/>
  <c r="P4" i="61"/>
  <c r="N4" i="61"/>
  <c r="K4" i="61"/>
  <c r="I4" i="61"/>
  <c r="N1" i="61"/>
  <c r="L3" i="58"/>
  <c r="K3" i="58"/>
  <c r="H3" i="58"/>
  <c r="G3" i="58"/>
  <c r="L1" i="58"/>
  <c r="J1" i="58"/>
</calcChain>
</file>

<file path=xl/sharedStrings.xml><?xml version="1.0" encoding="utf-8"?>
<sst xmlns="http://schemas.openxmlformats.org/spreadsheetml/2006/main" count="320" uniqueCount="191">
  <si>
    <r>
      <t>SO</t>
    </r>
    <r>
      <rPr>
        <b/>
        <sz val="11"/>
        <color indexed="55"/>
        <rFont val="Arial"/>
        <family val="2"/>
      </rPr>
      <t>LUNE</t>
    </r>
  </si>
  <si>
    <t>DESCRIPTION</t>
  </si>
  <si>
    <t>N</t>
  </si>
  <si>
    <t>N°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</si>
  <si>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</si>
  <si>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</si>
  <si>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</si>
  <si>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</si>
  <si>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</si>
  <si>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</si>
  <si>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</si>
  <si>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</si>
  <si>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</si>
  <si>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</si>
  <si>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</si>
  <si>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</si>
  <si>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</si>
  <si>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Q</t>
  </si>
  <si>
    <t>R</t>
  </si>
  <si>
    <t>S</t>
  </si>
  <si>
    <t>CODE</t>
  </si>
  <si>
    <t>PRISE DE MESURES  / MEASUREMENT CHART</t>
  </si>
  <si>
    <r>
      <t>SO</t>
    </r>
    <r>
      <rPr>
        <b/>
        <sz val="11"/>
        <color indexed="55"/>
        <rFont val="Arial"/>
        <family val="2"/>
      </rPr>
      <t>LUNE</t>
    </r>
    <r>
      <rPr>
        <b/>
        <sz val="11"/>
        <color indexed="55"/>
        <rFont val="Times New Roman"/>
        <family val="1"/>
      </rPr>
      <t xml:space="preserve">   </t>
    </r>
    <r>
      <rPr>
        <b/>
        <sz val="11"/>
        <rFont val="Times New Roman"/>
        <family val="1"/>
      </rPr>
      <t xml:space="preserve">                   </t>
    </r>
  </si>
  <si>
    <t xml:space="preserve"> FICHE TECHNIQUE </t>
  </si>
  <si>
    <r>
      <t>SO</t>
    </r>
    <r>
      <rPr>
        <b/>
        <sz val="14"/>
        <color indexed="55"/>
        <rFont val="Arial"/>
        <family val="2"/>
      </rPr>
      <t>LUNE</t>
    </r>
  </si>
  <si>
    <t>MEASUREMENTS CHART / PRISE DE MESURES</t>
  </si>
  <si>
    <t>Tolerance</t>
  </si>
  <si>
    <t>T42</t>
  </si>
  <si>
    <t>Value grading</t>
  </si>
  <si>
    <r>
      <t>SO</t>
    </r>
    <r>
      <rPr>
        <b/>
        <sz val="11"/>
        <color indexed="55"/>
        <rFont val="Arial"/>
        <family val="2"/>
      </rPr>
      <t xml:space="preserve">LUNE   </t>
    </r>
    <r>
      <rPr>
        <b/>
        <sz val="11"/>
        <rFont val="Arial"/>
        <family val="2"/>
      </rPr>
      <t xml:space="preserve">                   </t>
    </r>
  </si>
  <si>
    <t>1er commentaires/ First comments</t>
  </si>
  <si>
    <t>Les mesures de ce tableau sont les mesures voulues du produit après montage.
The measures of this chart are the measures of the product after assembly.</t>
  </si>
  <si>
    <t>Collection : VB</t>
  </si>
  <si>
    <t>Collection :  VB</t>
  </si>
  <si>
    <t>PICTURES / SKETCH + COMMENTS</t>
  </si>
  <si>
    <t xml:space="preserve">Thème: </t>
  </si>
  <si>
    <t xml:space="preserve">Modèle : </t>
  </si>
  <si>
    <t xml:space="preserve">Thème : </t>
  </si>
  <si>
    <t xml:space="preserve">Saison : </t>
  </si>
  <si>
    <t xml:space="preserve">Saison: </t>
  </si>
  <si>
    <t>Collection: VB</t>
  </si>
  <si>
    <t xml:space="preserve">Modèle: </t>
  </si>
  <si>
    <t>POSITION DE L'ETIQUETTE D'ENTRETIEN / CARE LABEL POSITION</t>
  </si>
  <si>
    <t>POSITION DE LA GRIFFE / LABEL POSITION</t>
  </si>
  <si>
    <t xml:space="preserve">Updated : </t>
  </si>
  <si>
    <t xml:space="preserve">Modéliste : </t>
  </si>
  <si>
    <t>TDS 2 / PPS 2 comments</t>
  </si>
  <si>
    <t>1/2 encolure dos / 1/2 back neckline</t>
  </si>
  <si>
    <t>Carrure épaule à épaule / Shoulder to shoulder cross-front</t>
  </si>
  <si>
    <t>Longueur milieu dos / Middle back length</t>
  </si>
  <si>
    <t>TABLEAU DE MESURES VESTE/MANTEAU/ROBES/CHEMISE/TOP -  JACKET/COAT/DRESSES/SHIRT/TOP MEASUREMENTS CHART</t>
  </si>
  <si>
    <t>Ecarts/Gap</t>
  </si>
  <si>
    <t>Ecart/Gap</t>
  </si>
  <si>
    <t>THREAD</t>
  </si>
  <si>
    <t>FIL /</t>
  </si>
  <si>
    <r>
      <t xml:space="preserve">Coloris / Color : </t>
    </r>
    <r>
      <rPr>
        <sz val="12"/>
        <rFont val="Arial"/>
        <family val="2"/>
      </rPr>
      <t>TONE ON TONE</t>
    </r>
  </si>
  <si>
    <t>NORMAL</t>
  </si>
  <si>
    <t>CORDONNET</t>
  </si>
  <si>
    <t xml:space="preserve">Mesures voulues/ Required measurement      Date : </t>
  </si>
  <si>
    <t xml:space="preserve">Collection sample measurement   Date : </t>
  </si>
  <si>
    <t xml:space="preserve">PPS measurement   Date : </t>
  </si>
  <si>
    <t>XS</t>
  </si>
  <si>
    <t>XL</t>
  </si>
  <si>
    <t>FICHE COMPOSANTS / ARTICLE SHEET</t>
  </si>
  <si>
    <t xml:space="preserve">Traitement : </t>
  </si>
  <si>
    <t>NORMAL THREAD</t>
  </si>
  <si>
    <t>CORDONNET THREAD</t>
  </si>
  <si>
    <t>FLAT+ HANGERS</t>
  </si>
  <si>
    <t>FOLDED</t>
  </si>
  <si>
    <t>SUSPENDED</t>
  </si>
  <si>
    <t>COMPONENT</t>
  </si>
  <si>
    <t>METRAGE COLL 
OU QUANTITE</t>
  </si>
  <si>
    <t>METRAGE PROD
OU QUANTITE</t>
  </si>
  <si>
    <t xml:space="preserve">           COLORWAY</t>
  </si>
  <si>
    <t>Assembly : 5  pts/cm</t>
  </si>
  <si>
    <t>Topstitching : 3,5  pts/cm</t>
  </si>
  <si>
    <t>UNILABEL</t>
  </si>
  <si>
    <t>CROQUIS TECHNIQUE</t>
  </si>
  <si>
    <t>Base</t>
  </si>
  <si>
    <t>FICHE DE NORMALISATION</t>
  </si>
  <si>
    <t>Participants :</t>
  </si>
  <si>
    <t>Développement/Style</t>
  </si>
  <si>
    <t>Atelier</t>
  </si>
  <si>
    <t>Production</t>
  </si>
  <si>
    <t>Fitting :</t>
  </si>
  <si>
    <t>Taille</t>
  </si>
  <si>
    <t>Reconduit</t>
  </si>
  <si>
    <t>Oversize</t>
  </si>
  <si>
    <t>Ajustée</t>
  </si>
  <si>
    <t>Retouche patronnage</t>
  </si>
  <si>
    <t>Date retouche</t>
  </si>
  <si>
    <t>Patronnier</t>
  </si>
  <si>
    <t>Fournitures :</t>
  </si>
  <si>
    <t>Remarques</t>
  </si>
  <si>
    <t>Coloris fil</t>
  </si>
  <si>
    <t>Titrage fils</t>
  </si>
  <si>
    <t>DF</t>
  </si>
  <si>
    <t>Epaulette</t>
  </si>
  <si>
    <t>Matière</t>
  </si>
  <si>
    <t>Doublure</t>
  </si>
  <si>
    <t>Conformité :</t>
  </si>
  <si>
    <t>Qualité :</t>
  </si>
  <si>
    <t>Focus Qualité :</t>
  </si>
  <si>
    <t xml:space="preserve"> </t>
  </si>
  <si>
    <t xml:space="preserve">Fabricant SMS : </t>
  </si>
  <si>
    <r>
      <t>Date :</t>
    </r>
    <r>
      <rPr>
        <sz val="11"/>
        <rFont val="Arial"/>
        <family val="2"/>
      </rPr>
      <t xml:space="preserve"> </t>
    </r>
  </si>
  <si>
    <t>Commentaires :</t>
  </si>
  <si>
    <t>N° plomb 36 : 
N° plomb 40 :</t>
  </si>
  <si>
    <t>TDS / PPS comments</t>
  </si>
  <si>
    <t>FOND BLE &amp; LOGO OR</t>
  </si>
  <si>
    <t>ble/gold</t>
  </si>
  <si>
    <t>TOLERANCES</t>
  </si>
  <si>
    <t>Carrure dos (12 cm de l'encolure milieu dos) / Back cross-front (12 cm from middle back neckline)</t>
  </si>
  <si>
    <t>Carrure devant (13cm de la pointe encolure) / Front cross-front (13 cm from neck point)</t>
  </si>
  <si>
    <t>0,5</t>
  </si>
  <si>
    <t>Longueur épaule / Shoulder length</t>
  </si>
  <si>
    <t>Longueur emmanchure devant / Front armhole length</t>
  </si>
  <si>
    <t xml:space="preserve">1/2 largeur bras / 1/2 arm width </t>
  </si>
  <si>
    <t xml:space="preserve">1/2 bas de manche / 1/2 bottom sleeve width </t>
  </si>
  <si>
    <t>1/2 envergure / 1/2 wingspan</t>
  </si>
  <si>
    <t>Hauteur poignet / Cuff height</t>
  </si>
  <si>
    <t>FICHE COMPOSANTS / BOM</t>
  </si>
  <si>
    <r>
      <t>CROQUIS/</t>
    </r>
    <r>
      <rPr>
        <b/>
        <sz val="10"/>
        <color theme="4"/>
        <rFont val="Arial"/>
        <family val="2"/>
      </rPr>
      <t>SKETCH</t>
    </r>
  </si>
  <si>
    <r>
      <t>Fabricant/</t>
    </r>
    <r>
      <rPr>
        <sz val="11"/>
        <color theme="4"/>
        <rFont val="Arial"/>
        <family val="2"/>
      </rPr>
      <t xml:space="preserve">Supplier : </t>
    </r>
  </si>
  <si>
    <r>
      <t>Lavage/</t>
    </r>
    <r>
      <rPr>
        <sz val="11"/>
        <color theme="4"/>
        <rFont val="Arial"/>
        <family val="2"/>
      </rPr>
      <t>Washing</t>
    </r>
  </si>
  <si>
    <r>
      <t>Surteinture/</t>
    </r>
    <r>
      <rPr>
        <sz val="11"/>
        <color theme="4"/>
        <rFont val="Arial"/>
        <family val="2"/>
      </rPr>
      <t>Garment dye</t>
    </r>
  </si>
  <si>
    <r>
      <t>Autre/</t>
    </r>
    <r>
      <rPr>
        <sz val="11"/>
        <color theme="4"/>
        <rFont val="Arial"/>
        <family val="2"/>
      </rPr>
      <t>Other :</t>
    </r>
  </si>
  <si>
    <r>
      <t xml:space="preserve">FIL NORMAL/
</t>
    </r>
    <r>
      <rPr>
        <b/>
        <sz val="10"/>
        <color theme="4"/>
        <rFont val="Arial"/>
        <family val="2"/>
      </rPr>
      <t>NORMAL THREAD</t>
    </r>
  </si>
  <si>
    <r>
      <t xml:space="preserve">FILS CORDONNET/
</t>
    </r>
    <r>
      <rPr>
        <b/>
        <sz val="10"/>
        <color theme="4"/>
        <rFont val="Arial"/>
        <family val="2"/>
      </rPr>
      <t>CORDONNET THREAD</t>
    </r>
  </si>
  <si>
    <r>
      <t>Conditionnement/</t>
    </r>
    <r>
      <rPr>
        <b/>
        <sz val="11"/>
        <color theme="4"/>
        <rFont val="Arial"/>
        <family val="2"/>
      </rPr>
      <t>Packaging</t>
    </r>
    <r>
      <rPr>
        <b/>
        <sz val="11"/>
        <rFont val="Arial"/>
        <family val="2"/>
      </rPr>
      <t xml:space="preserve"> :</t>
    </r>
  </si>
  <si>
    <r>
      <t>Cintre+housse/</t>
    </r>
    <r>
      <rPr>
        <sz val="11"/>
        <color theme="4"/>
        <rFont val="Arial"/>
        <family val="2"/>
      </rPr>
      <t>Hanger+plastic cover</t>
    </r>
  </si>
  <si>
    <r>
      <t>Suspendu/</t>
    </r>
    <r>
      <rPr>
        <sz val="11"/>
        <color theme="4"/>
        <rFont val="Arial"/>
        <family val="2"/>
      </rPr>
      <t>Suspended</t>
    </r>
  </si>
  <si>
    <r>
      <t>Plié/</t>
    </r>
    <r>
      <rPr>
        <sz val="11"/>
        <color theme="4"/>
        <rFont val="Arial"/>
        <family val="2"/>
      </rPr>
      <t>Folded</t>
    </r>
  </si>
  <si>
    <r>
      <t xml:space="preserve">Qtés 
</t>
    </r>
    <r>
      <rPr>
        <b/>
        <sz val="11"/>
        <color rgb="FF0070C0"/>
        <rFont val="Arial"/>
        <family val="2"/>
      </rPr>
      <t>Qties</t>
    </r>
  </si>
  <si>
    <r>
      <t xml:space="preserve">Visuel
</t>
    </r>
    <r>
      <rPr>
        <b/>
        <sz val="10"/>
        <color rgb="FF0070C0"/>
        <rFont val="Arial"/>
        <family val="2"/>
      </rPr>
      <t>Visual</t>
    </r>
  </si>
  <si>
    <r>
      <t xml:space="preserve">    </t>
    </r>
    <r>
      <rPr>
        <b/>
        <sz val="11"/>
        <color theme="4"/>
        <rFont val="Arial"/>
        <family val="2"/>
      </rPr>
      <t xml:space="preserve">       COLORWAY</t>
    </r>
  </si>
  <si>
    <r>
      <t>MATIERE PRINCIPALE/</t>
    </r>
    <r>
      <rPr>
        <b/>
        <sz val="10"/>
        <color theme="4"/>
        <rFont val="Arial"/>
        <family val="2"/>
      </rPr>
      <t>MAIN FABRIC</t>
    </r>
  </si>
  <si>
    <r>
      <t>MATIERE SECONDAIRE/</t>
    </r>
    <r>
      <rPr>
        <b/>
        <sz val="10"/>
        <color theme="4"/>
        <rFont val="Arial"/>
        <family val="2"/>
      </rPr>
      <t>SECOND FABRIC</t>
    </r>
  </si>
  <si>
    <r>
      <t>DOUBLURE/</t>
    </r>
    <r>
      <rPr>
        <b/>
        <sz val="10"/>
        <color theme="4"/>
        <rFont val="Arial"/>
        <family val="2"/>
      </rPr>
      <t>LINING</t>
    </r>
  </si>
  <si>
    <r>
      <t>FOURNITURES/</t>
    </r>
    <r>
      <rPr>
        <b/>
        <sz val="10"/>
        <color theme="4"/>
        <rFont val="Arial"/>
        <family val="2"/>
      </rPr>
      <t>TRIMS</t>
    </r>
  </si>
  <si>
    <r>
      <t>GRIFFE/</t>
    </r>
    <r>
      <rPr>
        <b/>
        <sz val="10"/>
        <color theme="4"/>
        <rFont val="Arial"/>
        <family val="2"/>
      </rPr>
      <t>BRAND WOVEN LABEL</t>
    </r>
  </si>
  <si>
    <t>Reference: VB22_WL002 (petite griffe/ small label)</t>
  </si>
  <si>
    <t>Reference: VB22_WL001 (grande griffe/big label)</t>
  </si>
  <si>
    <t>Reference : VB22_JEAN</t>
  </si>
  <si>
    <r>
      <t>PUCE DE TAILE/</t>
    </r>
    <r>
      <rPr>
        <b/>
        <sz val="10"/>
        <color theme="4"/>
        <rFont val="Arial"/>
        <family val="2"/>
      </rPr>
      <t>SIZE LABEL</t>
    </r>
  </si>
  <si>
    <t>Reference: VB22_SL-xx</t>
  </si>
  <si>
    <t>Reference: VB22_SET002</t>
  </si>
  <si>
    <t>reference: VB22_VALO-XXXX</t>
  </si>
  <si>
    <t>Fabricant SMS:</t>
  </si>
  <si>
    <t>Date :</t>
  </si>
  <si>
    <t>Commentaires:</t>
  </si>
  <si>
    <t>1/2 encolure devant jusqu'au bord / 1/2 front neckline to the edge</t>
  </si>
  <si>
    <t>O</t>
  </si>
  <si>
    <t>D1</t>
  </si>
  <si>
    <t>Encolure sur la manche raglan / Neckline on the raglan sleeve</t>
  </si>
  <si>
    <t>Longueur manche sans le poignet / Sleeve length without cuff</t>
  </si>
  <si>
    <t>Hauteur fente / Slit length</t>
  </si>
  <si>
    <t xml:space="preserve">Longueur bord col / Collar edge length </t>
  </si>
  <si>
    <t>1/2 tour de bas de vêtement droit / 1/2 bottom width straight</t>
  </si>
  <si>
    <t>1/2 tour de poitrine (sous emmanchure) / 1/2 chest width (below armhole)</t>
  </si>
  <si>
    <t>LABEL 7</t>
  </si>
  <si>
    <t>Reference : VBR WL 0002</t>
  </si>
  <si>
    <t>Reference : VBR SL 0001</t>
  </si>
  <si>
    <t>Reference : VB22_PACK002</t>
  </si>
  <si>
    <t>Longueur emmanchure dos / Back armhole length</t>
  </si>
  <si>
    <t>XS/S</t>
  </si>
  <si>
    <t>M/L</t>
  </si>
  <si>
    <t>tbc</t>
  </si>
  <si>
    <t>Modèle : V09413 BELL</t>
  </si>
  <si>
    <t>X</t>
  </si>
  <si>
    <r>
      <t xml:space="preserve">Taille du prototype / Original sample size </t>
    </r>
    <r>
      <rPr>
        <b/>
        <sz val="12"/>
        <color indexed="10"/>
        <rFont val="Arial"/>
        <family val="2"/>
      </rPr>
      <t xml:space="preserve">: </t>
    </r>
    <r>
      <rPr>
        <b/>
        <sz val="12"/>
        <color rgb="FFDD0806"/>
        <rFont val="Arial"/>
        <family val="2"/>
      </rPr>
      <t>M/L</t>
    </r>
  </si>
  <si>
    <t>Mesures voulues/ Required measurement      Date : 14/06/24</t>
  </si>
  <si>
    <t>P1</t>
  </si>
  <si>
    <t>Longueur milieu devant / Middle front length</t>
  </si>
  <si>
    <t>LIGHT FUSIBLE</t>
  </si>
  <si>
    <t>ELASTIC TAPE</t>
  </si>
  <si>
    <t>1CM</t>
  </si>
  <si>
    <t>Thème :  1EVA32</t>
  </si>
  <si>
    <t>Fabricant : EV FASHION</t>
  </si>
  <si>
    <t>EV FASHION</t>
  </si>
  <si>
    <t>VOILE FACONNE</t>
  </si>
  <si>
    <t>130CM</t>
  </si>
  <si>
    <t>Fabricant :  EV FASHION</t>
  </si>
  <si>
    <t>55% CO 45% VI</t>
  </si>
  <si>
    <t xml:space="preserve">Poids: 82 gr </t>
  </si>
  <si>
    <t>Saison : 26H</t>
  </si>
  <si>
    <t>Updated : 23/02/2026</t>
  </si>
  <si>
    <t xml:space="preserve">001 BLANC </t>
  </si>
  <si>
    <t>671 OLIVE</t>
  </si>
  <si>
    <t>Modéliste : RECONDUIT</t>
  </si>
  <si>
    <t>Modéliste :  RECONDUIT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</si>
</sst>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0\ &quot;€&quot;;[Red]\-#,##0.000\ &quot;€&quot;"/>
  </numFmts>
  <fonts count="57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55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indexed="55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color indexed="55"/>
      <name val="Arial"/>
      <family val="2"/>
    </font>
    <font>
      <sz val="14"/>
      <name val="Arial"/>
      <family val="2"/>
    </font>
    <font>
      <u/>
      <sz val="11"/>
      <name val="Arial"/>
      <family val="2"/>
    </font>
    <font>
      <b/>
      <u/>
      <sz val="12"/>
      <color indexed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sz val="12"/>
      <color indexed="10"/>
      <name val="Arial"/>
      <family val="2"/>
    </font>
    <font>
      <b/>
      <sz val="18"/>
      <color rgb="FF000000"/>
      <name val="Calibri"/>
      <family val="2"/>
    </font>
    <font>
      <b/>
      <sz val="18"/>
      <color rgb="FFFF0000"/>
      <name val="Arial"/>
      <family val="2"/>
    </font>
    <font>
      <sz val="11"/>
      <color indexed="10"/>
      <name val="Verdana"/>
      <family val="2"/>
    </font>
    <font>
      <sz val="11"/>
      <name val="Verdana"/>
      <family val="2"/>
    </font>
    <font>
      <b/>
      <sz val="15"/>
      <color rgb="FFFF0000"/>
      <name val="Verdana"/>
      <family val="2"/>
    </font>
    <font>
      <sz val="15"/>
      <name val="Verdana"/>
      <family val="2"/>
    </font>
    <font>
      <sz val="16"/>
      <name val="Verdana"/>
      <family val="2"/>
    </font>
    <font>
      <b/>
      <sz val="15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  <font>
      <sz val="14"/>
      <name val="Verdana"/>
      <family val="2"/>
    </font>
    <font>
      <sz val="11"/>
      <color theme="1"/>
      <name val="Verdana"/>
      <family val="2"/>
    </font>
    <font>
      <b/>
      <sz val="11"/>
      <color rgb="FF0070C0"/>
      <name val="Verdana"/>
      <family val="2"/>
    </font>
    <font>
      <b/>
      <sz val="11"/>
      <color rgb="FFFF0000"/>
      <name val="Verdana"/>
      <family val="2"/>
    </font>
    <font>
      <sz val="11"/>
      <color indexed="8"/>
      <name val="Verdana"/>
      <family val="2"/>
    </font>
    <font>
      <b/>
      <sz val="15"/>
      <color rgb="FF0070C0"/>
      <name val="Verdana"/>
      <family val="2"/>
    </font>
    <font>
      <u/>
      <sz val="11"/>
      <name val="Verdana"/>
      <family val="2"/>
    </font>
    <font>
      <u/>
      <sz val="10"/>
      <color indexed="12"/>
      <name val="Arial"/>
      <family val="2"/>
    </font>
    <font>
      <u/>
      <sz val="11"/>
      <color indexed="12"/>
      <name val="Verdana"/>
      <family val="2"/>
    </font>
    <font>
      <u/>
      <sz val="11"/>
      <color indexed="48"/>
      <name val="Verdana"/>
      <family val="2"/>
    </font>
    <font>
      <sz val="11"/>
      <color theme="0" tint="-0.499984740745262"/>
      <name val="Arial"/>
      <family val="2"/>
    </font>
    <font>
      <u/>
      <sz val="12"/>
      <name val="Arial"/>
      <family val="2"/>
    </font>
    <font>
      <b/>
      <i/>
      <sz val="11"/>
      <name val="Arial"/>
      <family val="2"/>
    </font>
    <font>
      <b/>
      <sz val="8"/>
      <name val="Arial"/>
      <family val="2"/>
    </font>
    <font>
      <sz val="12"/>
      <name val="Verdana"/>
      <family val="2"/>
    </font>
    <font>
      <b/>
      <sz val="10"/>
      <color theme="4"/>
      <name val="Arial"/>
      <family val="2"/>
    </font>
    <font>
      <sz val="11"/>
      <color theme="4"/>
      <name val="Arial"/>
      <family val="2"/>
    </font>
    <font>
      <b/>
      <sz val="11"/>
      <color theme="4"/>
      <name val="Arial"/>
      <family val="2"/>
    </font>
    <font>
      <b/>
      <sz val="11"/>
      <color rgb="FF0070C0"/>
      <name val="Arial"/>
      <family val="2"/>
    </font>
    <font>
      <b/>
      <sz val="10"/>
      <color rgb="FF0070C0"/>
      <name val="Arial"/>
      <family val="2"/>
    </font>
    <font>
      <sz val="10"/>
      <name val="Verdana"/>
      <family val="2"/>
    </font>
    <font>
      <b/>
      <sz val="16"/>
      <color rgb="FFFFFF00"/>
      <name val="Arial"/>
      <family val="2"/>
    </font>
    <font>
      <b/>
      <sz val="18"/>
      <color rgb="FFFFFF00"/>
      <name val="Arial"/>
      <family val="2"/>
    </font>
    <font>
      <b/>
      <sz val="12"/>
      <color rgb="FFDD080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3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</cellStyleXfs>
  <cellXfs count="691">
    <xf numFmtId="0" fontId="0" fillId="0" borderId="0" xfId="0"/>
    <xf numFmtId="0" fontId="8" fillId="0" borderId="0" xfId="0" applyFont="1"/>
    <xf numFmtId="0" fontId="0" fillId="0" borderId="0" xfId="0" applyAlignment="1">
      <alignment vertical="center"/>
    </xf>
    <xf numFmtId="0" fontId="14" fillId="0" borderId="0" xfId="0" applyFont="1"/>
    <xf numFmtId="0" fontId="1" fillId="0" borderId="0" xfId="2"/>
    <xf numFmtId="0" fontId="8" fillId="0" borderId="0" xfId="2" applyFont="1"/>
    <xf numFmtId="0" fontId="11" fillId="0" borderId="0" xfId="2" applyFont="1"/>
    <xf numFmtId="0" fontId="17" fillId="0" borderId="0" xfId="2" applyFont="1" applyAlignment="1">
      <alignment vertical="justify"/>
    </xf>
    <xf numFmtId="0" fontId="17" fillId="0" borderId="6" xfId="2" applyFont="1" applyBorder="1" applyAlignment="1">
      <alignment vertical="justify"/>
    </xf>
    <xf numFmtId="0" fontId="17" fillId="0" borderId="7" xfId="2" applyFont="1" applyBorder="1" applyAlignment="1">
      <alignment vertical="justify"/>
    </xf>
    <xf numFmtId="0" fontId="1" fillId="0" borderId="0" xfId="2" applyAlignment="1">
      <alignment vertical="center"/>
    </xf>
    <xf numFmtId="0" fontId="14" fillId="0" borderId="0" xfId="2" applyFont="1"/>
    <xf numFmtId="0" fontId="11" fillId="0" borderId="6" xfId="2" applyFont="1" applyBorder="1" applyAlignment="1">
      <alignment vertical="center" wrapText="1"/>
    </xf>
    <xf numFmtId="0" fontId="1" fillId="0" borderId="0" xfId="2" applyAlignment="1">
      <alignment vertical="center" wrapText="1"/>
    </xf>
    <xf numFmtId="0" fontId="1" fillId="0" borderId="7" xfId="2" applyBorder="1" applyAlignment="1">
      <alignment vertical="center" wrapText="1"/>
    </xf>
    <xf numFmtId="0" fontId="1" fillId="0" borderId="6" xfId="2" applyBorder="1" applyAlignment="1">
      <alignment vertical="center" wrapText="1"/>
    </xf>
    <xf numFmtId="0" fontId="1" fillId="0" borderId="8" xfId="2" applyBorder="1" applyAlignment="1">
      <alignment vertical="center" wrapText="1"/>
    </xf>
    <xf numFmtId="0" fontId="1" fillId="0" borderId="9" xfId="2" applyBorder="1" applyAlignment="1">
      <alignment vertical="center" wrapText="1"/>
    </xf>
    <xf numFmtId="0" fontId="1" fillId="0" borderId="10" xfId="2" applyBorder="1" applyAlignment="1">
      <alignment vertical="center" wrapText="1"/>
    </xf>
    <xf numFmtId="14" fontId="11" fillId="0" borderId="44" xfId="2" applyNumberFormat="1" applyFont="1" applyBorder="1" applyAlignment="1">
      <alignment horizontal="center" vertical="center"/>
    </xf>
    <xf numFmtId="0" fontId="1" fillId="0" borderId="0" xfId="3"/>
    <xf numFmtId="0" fontId="19" fillId="0" borderId="0" xfId="3" applyFont="1"/>
    <xf numFmtId="0" fontId="19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20" fillId="5" borderId="1" xfId="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center" vertical="center" wrapText="1"/>
    </xf>
    <xf numFmtId="0" fontId="19" fillId="5" borderId="0" xfId="3" applyFont="1" applyFill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4" fillId="0" borderId="49" xfId="0" applyFont="1" applyBorder="1" applyAlignment="1">
      <alignment horizontal="left" vertical="center"/>
    </xf>
    <xf numFmtId="0" fontId="14" fillId="0" borderId="53" xfId="0" applyFont="1" applyBorder="1" applyAlignment="1">
      <alignment horizontal="left" vertical="center"/>
    </xf>
    <xf numFmtId="14" fontId="14" fillId="0" borderId="52" xfId="0" applyNumberFormat="1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4" fontId="11" fillId="0" borderId="27" xfId="0" applyNumberFormat="1" applyFont="1" applyBorder="1" applyAlignment="1">
      <alignment horizontal="left"/>
    </xf>
    <xf numFmtId="0" fontId="1" fillId="0" borderId="44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26" fillId="0" borderId="0" xfId="3" applyFont="1"/>
    <xf numFmtId="0" fontId="2" fillId="0" borderId="0" xfId="3" applyFont="1" applyAlignment="1">
      <alignment horizontal="left" vertical="center"/>
    </xf>
    <xf numFmtId="14" fontId="11" fillId="0" borderId="0" xfId="3" applyNumberFormat="1" applyFont="1" applyAlignment="1">
      <alignment horizontal="left"/>
    </xf>
    <xf numFmtId="0" fontId="14" fillId="0" borderId="0" xfId="3" applyFont="1" applyAlignment="1">
      <alignment horizontal="left" vertical="center"/>
    </xf>
    <xf numFmtId="14" fontId="14" fillId="0" borderId="0" xfId="3" applyNumberFormat="1" applyFont="1" applyAlignment="1">
      <alignment horizontal="left" vertical="center"/>
    </xf>
    <xf numFmtId="0" fontId="1" fillId="0" borderId="0" xfId="3" applyAlignment="1">
      <alignment vertical="center"/>
    </xf>
    <xf numFmtId="0" fontId="1" fillId="0" borderId="0" xfId="3" applyAlignment="1">
      <alignment horizontal="left" vertical="center"/>
    </xf>
    <xf numFmtId="0" fontId="26" fillId="0" borderId="0" xfId="3" applyFont="1" applyAlignment="1">
      <alignment horizontal="left"/>
    </xf>
    <xf numFmtId="8" fontId="26" fillId="0" borderId="0" xfId="3" applyNumberFormat="1" applyFont="1" applyAlignment="1">
      <alignment horizontal="right"/>
    </xf>
    <xf numFmtId="0" fontId="32" fillId="0" borderId="0" xfId="3" applyFont="1"/>
    <xf numFmtId="0" fontId="26" fillId="0" borderId="0" xfId="3" applyFont="1" applyAlignment="1">
      <alignment horizontal="right"/>
    </xf>
    <xf numFmtId="0" fontId="26" fillId="0" borderId="35" xfId="3" applyFont="1" applyBorder="1"/>
    <xf numFmtId="0" fontId="31" fillId="0" borderId="6" xfId="3" applyFont="1" applyBorder="1"/>
    <xf numFmtId="0" fontId="31" fillId="0" borderId="0" xfId="3" applyFont="1"/>
    <xf numFmtId="0" fontId="26" fillId="0" borderId="6" xfId="3" applyFont="1" applyBorder="1"/>
    <xf numFmtId="0" fontId="26" fillId="0" borderId="12" xfId="3" applyFont="1" applyBorder="1"/>
    <xf numFmtId="0" fontId="26" fillId="0" borderId="13" xfId="3" applyFont="1" applyBorder="1" applyAlignment="1">
      <alignment horizontal="left"/>
    </xf>
    <xf numFmtId="0" fontId="26" fillId="0" borderId="20" xfId="3" applyFont="1" applyBorder="1" applyAlignment="1">
      <alignment horizontal="right"/>
    </xf>
    <xf numFmtId="0" fontId="34" fillId="0" borderId="13" xfId="3" applyFont="1" applyBorder="1"/>
    <xf numFmtId="0" fontId="34" fillId="0" borderId="14" xfId="3" applyFont="1" applyBorder="1"/>
    <xf numFmtId="0" fontId="26" fillId="0" borderId="33" xfId="3" applyFont="1" applyBorder="1" applyAlignment="1">
      <alignment horizontal="right"/>
    </xf>
    <xf numFmtId="0" fontId="34" fillId="0" borderId="0" xfId="3" applyFont="1"/>
    <xf numFmtId="0" fontId="34" fillId="0" borderId="7" xfId="3" applyFont="1" applyBorder="1"/>
    <xf numFmtId="0" fontId="26" fillId="0" borderId="6" xfId="3" applyFont="1" applyBorder="1" applyAlignment="1">
      <alignment horizontal="left"/>
    </xf>
    <xf numFmtId="0" fontId="34" fillId="0" borderId="32" xfId="3" applyFont="1" applyBorder="1"/>
    <xf numFmtId="0" fontId="26" fillId="0" borderId="32" xfId="3" applyFont="1" applyBorder="1"/>
    <xf numFmtId="0" fontId="34" fillId="0" borderId="33" xfId="3" applyFont="1" applyBorder="1" applyAlignment="1">
      <alignment horizontal="left"/>
    </xf>
    <xf numFmtId="0" fontId="34" fillId="0" borderId="0" xfId="3" applyFont="1" applyAlignment="1">
      <alignment horizontal="right"/>
    </xf>
    <xf numFmtId="0" fontId="34" fillId="0" borderId="7" xfId="3" applyFont="1" applyBorder="1" applyAlignment="1">
      <alignment horizontal="right"/>
    </xf>
    <xf numFmtId="0" fontId="26" fillId="0" borderId="33" xfId="3" applyFont="1" applyBorder="1"/>
    <xf numFmtId="8" fontId="26" fillId="0" borderId="0" xfId="3" applyNumberFormat="1" applyFont="1" applyAlignment="1">
      <alignment horizontal="left"/>
    </xf>
    <xf numFmtId="8" fontId="26" fillId="0" borderId="33" xfId="3" applyNumberFormat="1" applyFont="1" applyBorder="1" applyAlignment="1">
      <alignment horizontal="right"/>
    </xf>
    <xf numFmtId="44" fontId="26" fillId="0" borderId="0" xfId="4" applyFont="1" applyBorder="1" applyAlignment="1">
      <alignment horizontal="right"/>
    </xf>
    <xf numFmtId="0" fontId="34" fillId="0" borderId="33" xfId="3" applyFont="1" applyBorder="1"/>
    <xf numFmtId="0" fontId="26" fillId="0" borderId="7" xfId="3" applyFont="1" applyBorder="1"/>
    <xf numFmtId="0" fontId="31" fillId="0" borderId="0" xfId="3" applyFont="1" applyAlignment="1">
      <alignment horizontal="left"/>
    </xf>
    <xf numFmtId="0" fontId="26" fillId="0" borderId="15" xfId="3" applyFont="1" applyBorder="1" applyAlignment="1">
      <alignment horizontal="left"/>
    </xf>
    <xf numFmtId="0" fontId="26" fillId="0" borderId="16" xfId="3" applyFont="1" applyBorder="1" applyAlignment="1">
      <alignment horizontal="right"/>
    </xf>
    <xf numFmtId="0" fontId="26" fillId="0" borderId="21" xfId="3" applyFont="1" applyBorder="1" applyAlignment="1">
      <alignment horizontal="right"/>
    </xf>
    <xf numFmtId="0" fontId="26" fillId="0" borderId="23" xfId="3" applyFont="1" applyBorder="1"/>
    <xf numFmtId="0" fontId="26" fillId="0" borderId="16" xfId="3" applyFont="1" applyBorder="1"/>
    <xf numFmtId="0" fontId="26" fillId="0" borderId="21" xfId="3" applyFont="1" applyBorder="1"/>
    <xf numFmtId="0" fontId="26" fillId="0" borderId="17" xfId="3" applyFont="1" applyBorder="1"/>
    <xf numFmtId="0" fontId="26" fillId="0" borderId="0" xfId="3" applyFont="1" applyAlignment="1">
      <alignment vertical="center"/>
    </xf>
    <xf numFmtId="8" fontId="26" fillId="0" borderId="0" xfId="3" applyNumberFormat="1" applyFont="1" applyAlignment="1">
      <alignment vertical="center" wrapText="1"/>
    </xf>
    <xf numFmtId="0" fontId="26" fillId="0" borderId="0" xfId="3" applyFont="1" applyAlignment="1">
      <alignment horizontal="right" vertical="center"/>
    </xf>
    <xf numFmtId="0" fontId="26" fillId="0" borderId="12" xfId="3" applyFont="1" applyBorder="1" applyAlignment="1">
      <alignment horizontal="left"/>
    </xf>
    <xf numFmtId="0" fontId="26" fillId="0" borderId="22" xfId="3" applyFont="1" applyBorder="1" applyAlignment="1">
      <alignment horizontal="left"/>
    </xf>
    <xf numFmtId="0" fontId="26" fillId="0" borderId="20" xfId="3" applyFont="1" applyBorder="1"/>
    <xf numFmtId="0" fontId="31" fillId="0" borderId="12" xfId="3" applyFont="1" applyBorder="1"/>
    <xf numFmtId="0" fontId="31" fillId="0" borderId="13" xfId="3" applyFont="1" applyBorder="1"/>
    <xf numFmtId="0" fontId="26" fillId="0" borderId="22" xfId="3" applyFont="1" applyBorder="1"/>
    <xf numFmtId="0" fontId="31" fillId="0" borderId="22" xfId="3" applyFont="1" applyBorder="1"/>
    <xf numFmtId="0" fontId="31" fillId="0" borderId="32" xfId="3" applyFont="1" applyBorder="1"/>
    <xf numFmtId="0" fontId="36" fillId="0" borderId="32" xfId="3" applyFont="1" applyBorder="1"/>
    <xf numFmtId="0" fontId="26" fillId="0" borderId="15" xfId="3" applyFont="1" applyBorder="1"/>
    <xf numFmtId="0" fontId="26" fillId="0" borderId="13" xfId="3" applyFont="1" applyBorder="1"/>
    <xf numFmtId="0" fontId="26" fillId="0" borderId="32" xfId="3" applyFont="1" applyBorder="1" applyAlignment="1">
      <alignment vertical="center"/>
    </xf>
    <xf numFmtId="0" fontId="37" fillId="0" borderId="0" xfId="3" applyFont="1"/>
    <xf numFmtId="0" fontId="26" fillId="0" borderId="32" xfId="3" applyFont="1" applyBorder="1" applyAlignment="1">
      <alignment horizontal="left" vertical="center"/>
    </xf>
    <xf numFmtId="0" fontId="37" fillId="0" borderId="32" xfId="3" applyFont="1" applyBorder="1"/>
    <xf numFmtId="0" fontId="35" fillId="0" borderId="32" xfId="3" applyFont="1" applyBorder="1" applyAlignment="1">
      <alignment horizontal="left"/>
    </xf>
    <xf numFmtId="164" fontId="26" fillId="0" borderId="0" xfId="3" applyNumberFormat="1" applyFont="1"/>
    <xf numFmtId="0" fontId="34" fillId="0" borderId="22" xfId="3" applyFont="1" applyBorder="1"/>
    <xf numFmtId="0" fontId="34" fillId="0" borderId="32" xfId="3" applyFont="1" applyBorder="1" applyAlignment="1">
      <alignment horizontal="right"/>
    </xf>
    <xf numFmtId="8" fontId="26" fillId="0" borderId="32" xfId="3" applyNumberFormat="1" applyFont="1" applyBorder="1" applyAlignment="1">
      <alignment horizontal="left"/>
    </xf>
    <xf numFmtId="0" fontId="26" fillId="0" borderId="28" xfId="3" applyFont="1" applyBorder="1"/>
    <xf numFmtId="0" fontId="26" fillId="0" borderId="9" xfId="3" applyFont="1" applyBorder="1"/>
    <xf numFmtId="0" fontId="26" fillId="0" borderId="45" xfId="3" applyFont="1" applyBorder="1"/>
    <xf numFmtId="0" fontId="26" fillId="0" borderId="10" xfId="3" applyFont="1" applyBorder="1"/>
    <xf numFmtId="0" fontId="39" fillId="0" borderId="0" xfId="3" applyFont="1"/>
    <xf numFmtId="0" fontId="41" fillId="0" borderId="0" xfId="5" applyFont="1" applyBorder="1" applyAlignment="1" applyProtection="1"/>
    <xf numFmtId="0" fontId="31" fillId="0" borderId="0" xfId="3" applyFont="1" applyAlignment="1">
      <alignment wrapText="1"/>
    </xf>
    <xf numFmtId="3" fontId="26" fillId="0" borderId="0" xfId="3" applyNumberFormat="1" applyFont="1"/>
    <xf numFmtId="49" fontId="26" fillId="0" borderId="0" xfId="3" applyNumberFormat="1" applyFont="1"/>
    <xf numFmtId="49" fontId="26" fillId="0" borderId="0" xfId="3" applyNumberFormat="1" applyFont="1" applyAlignment="1">
      <alignment horizontal="left"/>
    </xf>
    <xf numFmtId="0" fontId="41" fillId="0" borderId="0" xfId="5" applyFont="1" applyBorder="1" applyAlignment="1" applyProtection="1">
      <alignment horizontal="left"/>
    </xf>
    <xf numFmtId="0" fontId="42" fillId="0" borderId="0" xfId="3" applyFont="1"/>
    <xf numFmtId="0" fontId="1" fillId="0" borderId="2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2" fillId="0" borderId="25" xfId="2" applyFont="1" applyBorder="1" applyAlignment="1">
      <alignment vertical="justify"/>
    </xf>
    <xf numFmtId="0" fontId="2" fillId="0" borderId="66" xfId="2" applyFont="1" applyBorder="1" applyAlignment="1">
      <alignment vertical="justify"/>
    </xf>
    <xf numFmtId="0" fontId="2" fillId="0" borderId="4" xfId="2" applyFont="1" applyBorder="1" applyAlignment="1">
      <alignment vertical="justify"/>
    </xf>
    <xf numFmtId="0" fontId="2" fillId="0" borderId="30" xfId="2" applyFont="1" applyBorder="1" applyAlignment="1">
      <alignment vertical="justify"/>
    </xf>
    <xf numFmtId="0" fontId="17" fillId="0" borderId="46" xfId="2" applyFont="1" applyBorder="1" applyAlignment="1">
      <alignment vertical="justify"/>
    </xf>
    <xf numFmtId="0" fontId="2" fillId="0" borderId="39" xfId="2" applyFont="1" applyBorder="1" applyAlignment="1">
      <alignment vertical="justify"/>
    </xf>
    <xf numFmtId="0" fontId="17" fillId="0" borderId="44" xfId="2" applyFont="1" applyBorder="1" applyAlignment="1">
      <alignment vertical="justify"/>
    </xf>
    <xf numFmtId="0" fontId="2" fillId="0" borderId="7" xfId="2" applyFont="1" applyBorder="1" applyAlignment="1">
      <alignment vertical="justify"/>
    </xf>
    <xf numFmtId="0" fontId="1" fillId="0" borderId="1" xfId="2" applyBorder="1" applyAlignment="1">
      <alignment vertical="center" wrapText="1"/>
    </xf>
    <xf numFmtId="0" fontId="17" fillId="0" borderId="63" xfId="2" applyFont="1" applyBorder="1" applyAlignment="1">
      <alignment vertical="justify"/>
    </xf>
    <xf numFmtId="0" fontId="17" fillId="0" borderId="59" xfId="2" applyFont="1" applyBorder="1" applyAlignment="1">
      <alignment vertical="justify"/>
    </xf>
    <xf numFmtId="0" fontId="17" fillId="0" borderId="26" xfId="2" applyFont="1" applyBorder="1" applyAlignment="1">
      <alignment vertical="justify"/>
    </xf>
    <xf numFmtId="0" fontId="17" fillId="0" borderId="29" xfId="2" applyFont="1" applyBorder="1" applyAlignment="1">
      <alignment vertical="justify"/>
    </xf>
    <xf numFmtId="0" fontId="1" fillId="0" borderId="3" xfId="2" applyBorder="1" applyAlignment="1">
      <alignment vertical="center" wrapText="1"/>
    </xf>
    <xf numFmtId="0" fontId="1" fillId="0" borderId="31" xfId="2" applyBorder="1" applyAlignment="1">
      <alignment vertical="center" wrapText="1"/>
    </xf>
    <xf numFmtId="0" fontId="1" fillId="0" borderId="22" xfId="2" applyBorder="1" applyAlignment="1">
      <alignment vertical="center" wrapText="1"/>
    </xf>
    <xf numFmtId="0" fontId="1" fillId="0" borderId="43" xfId="2" applyBorder="1" applyAlignment="1">
      <alignment vertical="center" wrapText="1"/>
    </xf>
    <xf numFmtId="0" fontId="1" fillId="0" borderId="40" xfId="2" applyBorder="1" applyAlignment="1">
      <alignment vertical="center" wrapText="1"/>
    </xf>
    <xf numFmtId="0" fontId="17" fillId="0" borderId="43" xfId="2" applyFont="1" applyBorder="1" applyAlignment="1">
      <alignment horizontal="center" vertical="justify"/>
    </xf>
    <xf numFmtId="0" fontId="1" fillId="0" borderId="68" xfId="2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justify"/>
    </xf>
    <xf numFmtId="0" fontId="2" fillId="0" borderId="64" xfId="2" applyFont="1" applyBorder="1" applyAlignment="1">
      <alignment horizontal="center" vertical="justify"/>
    </xf>
    <xf numFmtId="0" fontId="1" fillId="0" borderId="43" xfId="0" applyFont="1" applyBorder="1" applyAlignment="1">
      <alignment horizontal="left" vertical="center"/>
    </xf>
    <xf numFmtId="14" fontId="11" fillId="0" borderId="0" xfId="2" applyNumberFormat="1" applyFont="1" applyAlignment="1">
      <alignment horizontal="center" vertical="center"/>
    </xf>
    <xf numFmtId="0" fontId="11" fillId="0" borderId="27" xfId="2" applyFont="1" applyBorder="1" applyAlignment="1">
      <alignment horizontal="center" vertical="justify"/>
    </xf>
    <xf numFmtId="0" fontId="11" fillId="0" borderId="67" xfId="2" applyFont="1" applyBorder="1" applyAlignment="1">
      <alignment vertical="justify"/>
    </xf>
    <xf numFmtId="0" fontId="11" fillId="0" borderId="5" xfId="2" applyFont="1" applyBorder="1" applyAlignment="1">
      <alignment horizontal="center" vertical="justify"/>
    </xf>
    <xf numFmtId="14" fontId="1" fillId="0" borderId="1" xfId="2" applyNumberFormat="1" applyBorder="1" applyAlignment="1">
      <alignment horizontal="center" vertical="center" wrapText="1"/>
    </xf>
    <xf numFmtId="0" fontId="1" fillId="0" borderId="6" xfId="3" applyBorder="1"/>
    <xf numFmtId="0" fontId="1" fillId="0" borderId="7" xfId="3" applyBorder="1"/>
    <xf numFmtId="0" fontId="1" fillId="0" borderId="8" xfId="3" applyBorder="1"/>
    <xf numFmtId="0" fontId="1" fillId="0" borderId="9" xfId="3" applyBorder="1"/>
    <xf numFmtId="0" fontId="1" fillId="0" borderId="10" xfId="3" applyBorder="1"/>
    <xf numFmtId="0" fontId="7" fillId="0" borderId="0" xfId="3" applyFont="1" applyAlignment="1">
      <alignment horizontal="left"/>
    </xf>
    <xf numFmtId="0" fontId="6" fillId="0" borderId="0" xfId="3" applyFont="1" applyAlignment="1">
      <alignment horizontal="center" vertical="center" wrapText="1"/>
    </xf>
    <xf numFmtId="0" fontId="21" fillId="0" borderId="0" xfId="3" applyFont="1" applyAlignment="1">
      <alignment horizontal="left" vertical="center" wrapText="1"/>
    </xf>
    <xf numFmtId="0" fontId="21" fillId="0" borderId="0" xfId="3" applyFont="1"/>
    <xf numFmtId="0" fontId="2" fillId="0" borderId="0" xfId="3" applyFont="1" applyAlignment="1">
      <alignment horizontal="center" wrapText="1"/>
    </xf>
    <xf numFmtId="0" fontId="7" fillId="0" borderId="0" xfId="3" applyFont="1" applyAlignment="1">
      <alignment horizontal="center" textRotation="90" wrapText="1"/>
    </xf>
    <xf numFmtId="0" fontId="8" fillId="0" borderId="25" xfId="3" applyFont="1" applyBorder="1" applyAlignment="1">
      <alignment horizontal="center" vertical="center" wrapText="1"/>
    </xf>
    <xf numFmtId="0" fontId="8" fillId="0" borderId="29" xfId="3" applyFont="1" applyBorder="1" applyAlignment="1">
      <alignment horizontal="center" vertical="center" wrapText="1"/>
    </xf>
    <xf numFmtId="0" fontId="8" fillId="2" borderId="26" xfId="3" applyFont="1" applyFill="1" applyBorder="1" applyAlignment="1">
      <alignment horizontal="left" vertical="top" wrapText="1"/>
    </xf>
    <xf numFmtId="0" fontId="8" fillId="5" borderId="26" xfId="3" applyFont="1" applyFill="1" applyBorder="1" applyAlignment="1">
      <alignment horizontal="left" vertical="top" wrapText="1"/>
    </xf>
    <xf numFmtId="0" fontId="8" fillId="5" borderId="26" xfId="3" applyFont="1" applyFill="1" applyBorder="1" applyAlignment="1">
      <alignment horizontal="center" vertical="center" wrapText="1"/>
    </xf>
    <xf numFmtId="0" fontId="8" fillId="3" borderId="27" xfId="3" applyFont="1" applyFill="1" applyBorder="1" applyAlignment="1">
      <alignment horizontal="center" vertical="center" wrapText="1"/>
    </xf>
    <xf numFmtId="0" fontId="8" fillId="3" borderId="29" xfId="3" applyFont="1" applyFill="1" applyBorder="1" applyAlignment="1">
      <alignment horizontal="center" vertical="center" textRotation="90" wrapText="1"/>
    </xf>
    <xf numFmtId="0" fontId="8" fillId="8" borderId="26" xfId="3" applyFont="1" applyFill="1" applyBorder="1" applyAlignment="1">
      <alignment horizontal="center" vertical="center" wrapText="1"/>
    </xf>
    <xf numFmtId="0" fontId="8" fillId="6" borderId="26" xfId="3" applyFont="1" applyFill="1" applyBorder="1" applyAlignment="1">
      <alignment horizontal="left" textRotation="90" wrapText="1"/>
    </xf>
    <xf numFmtId="0" fontId="8" fillId="6" borderId="26" xfId="3" applyFont="1" applyFill="1" applyBorder="1" applyAlignment="1">
      <alignment horizontal="center" textRotation="90" wrapText="1"/>
    </xf>
    <xf numFmtId="0" fontId="8" fillId="0" borderId="26" xfId="3" applyFont="1" applyBorder="1" applyAlignment="1">
      <alignment horizontal="center" vertical="center" wrapText="1"/>
    </xf>
    <xf numFmtId="0" fontId="8" fillId="4" borderId="27" xfId="3" applyFont="1" applyFill="1" applyBorder="1" applyAlignment="1">
      <alignment horizontal="center" vertical="center" textRotation="90" wrapText="1"/>
    </xf>
    <xf numFmtId="0" fontId="7" fillId="0" borderId="0" xfId="3" applyFont="1" applyAlignment="1">
      <alignment horizontal="center" vertical="center" textRotation="90" wrapText="1"/>
    </xf>
    <xf numFmtId="0" fontId="21" fillId="0" borderId="0" xfId="3" applyFont="1" applyAlignment="1">
      <alignment horizontal="center" textRotation="90"/>
    </xf>
    <xf numFmtId="0" fontId="24" fillId="0" borderId="4" xfId="3" applyFont="1" applyBorder="1" applyAlignment="1">
      <alignment horizontal="center" vertical="center"/>
    </xf>
    <xf numFmtId="0" fontId="19" fillId="3" borderId="1" xfId="3" applyFont="1" applyFill="1" applyBorder="1" applyAlignment="1">
      <alignment horizontal="center" vertical="center" wrapText="1"/>
    </xf>
    <xf numFmtId="0" fontId="19" fillId="5" borderId="1" xfId="3" applyFont="1" applyFill="1" applyBorder="1" applyAlignment="1">
      <alignment horizontal="center" vertical="center" wrapText="1"/>
    </xf>
    <xf numFmtId="0" fontId="19" fillId="8" borderId="1" xfId="3" applyFont="1" applyFill="1" applyBorder="1" applyAlignment="1">
      <alignment horizontal="center" vertical="center" wrapText="1"/>
    </xf>
    <xf numFmtId="0" fontId="19" fillId="6" borderId="1" xfId="3" applyFont="1" applyFill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19" fillId="4" borderId="5" xfId="3" applyFont="1" applyFill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/>
    </xf>
    <xf numFmtId="0" fontId="20" fillId="0" borderId="0" xfId="3" applyFont="1"/>
    <xf numFmtId="0" fontId="23" fillId="0" borderId="0" xfId="3" applyFont="1" applyAlignment="1">
      <alignment horizontal="center" vertical="center"/>
    </xf>
    <xf numFmtId="0" fontId="1" fillId="5" borderId="0" xfId="3" applyFill="1"/>
    <xf numFmtId="0" fontId="1" fillId="6" borderId="0" xfId="3" applyFill="1"/>
    <xf numFmtId="0" fontId="1" fillId="7" borderId="0" xfId="3" applyFill="1"/>
    <xf numFmtId="0" fontId="8" fillId="5" borderId="0" xfId="3" applyFont="1" applyFill="1" applyAlignment="1">
      <alignment horizontal="center" vertical="center" textRotation="90" wrapText="1"/>
    </xf>
    <xf numFmtId="0" fontId="5" fillId="9" borderId="4" xfId="3" applyFont="1" applyFill="1" applyBorder="1" applyAlignment="1">
      <alignment horizontal="center"/>
    </xf>
    <xf numFmtId="0" fontId="1" fillId="9" borderId="3" xfId="3" applyFill="1" applyBorder="1" applyAlignment="1">
      <alignment wrapText="1"/>
    </xf>
    <xf numFmtId="0" fontId="1" fillId="9" borderId="0" xfId="3" applyFill="1"/>
    <xf numFmtId="0" fontId="1" fillId="0" borderId="1" xfId="2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justify"/>
    </xf>
    <xf numFmtId="0" fontId="17" fillId="0" borderId="44" xfId="2" applyFont="1" applyBorder="1" applyAlignment="1">
      <alignment horizontal="center" vertical="justify"/>
    </xf>
    <xf numFmtId="0" fontId="1" fillId="0" borderId="68" xfId="2" applyBorder="1" applyAlignment="1">
      <alignment vertical="center" wrapText="1"/>
    </xf>
    <xf numFmtId="0" fontId="1" fillId="0" borderId="58" xfId="3" applyBorder="1" applyAlignment="1">
      <alignment horizontal="left" vertical="center"/>
    </xf>
    <xf numFmtId="0" fontId="47" fillId="0" borderId="0" xfId="3" applyFont="1"/>
    <xf numFmtId="0" fontId="2" fillId="0" borderId="34" xfId="3" applyFont="1" applyBorder="1" applyAlignment="1">
      <alignment vertical="top"/>
    </xf>
    <xf numFmtId="0" fontId="11" fillId="0" borderId="35" xfId="3" applyFont="1" applyBorder="1" applyAlignment="1">
      <alignment vertical="top"/>
    </xf>
    <xf numFmtId="0" fontId="11" fillId="0" borderId="36" xfId="3" applyFont="1" applyBorder="1" applyAlignment="1">
      <alignment vertical="top"/>
    </xf>
    <xf numFmtId="0" fontId="11" fillId="0" borderId="6" xfId="3" applyFont="1" applyBorder="1" applyAlignment="1">
      <alignment vertical="top"/>
    </xf>
    <xf numFmtId="0" fontId="11" fillId="0" borderId="0" xfId="3" applyFont="1" applyAlignment="1">
      <alignment vertical="top"/>
    </xf>
    <xf numFmtId="0" fontId="11" fillId="0" borderId="7" xfId="3" applyFont="1" applyBorder="1" applyAlignment="1">
      <alignment vertical="top"/>
    </xf>
    <xf numFmtId="0" fontId="30" fillId="0" borderId="53" xfId="3" applyFont="1" applyBorder="1" applyAlignment="1">
      <alignment vertical="center"/>
    </xf>
    <xf numFmtId="0" fontId="30" fillId="0" borderId="52" xfId="3" applyFont="1" applyBorder="1" applyAlignment="1">
      <alignment vertical="center"/>
    </xf>
    <xf numFmtId="0" fontId="30" fillId="0" borderId="0" xfId="3" applyFont="1" applyAlignment="1">
      <alignment vertical="center"/>
    </xf>
    <xf numFmtId="0" fontId="30" fillId="0" borderId="7" xfId="3" applyFont="1" applyBorder="1" applyAlignment="1">
      <alignment vertical="center"/>
    </xf>
    <xf numFmtId="0" fontId="2" fillId="0" borderId="6" xfId="3" applyFont="1" applyBorder="1"/>
    <xf numFmtId="0" fontId="2" fillId="0" borderId="0" xfId="3" applyFont="1"/>
    <xf numFmtId="0" fontId="11" fillId="0" borderId="8" xfId="3" applyFont="1" applyBorder="1"/>
    <xf numFmtId="0" fontId="3" fillId="0" borderId="6" xfId="3" applyFont="1" applyBorder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right"/>
    </xf>
    <xf numFmtId="0" fontId="11" fillId="0" borderId="6" xfId="3" applyFont="1" applyBorder="1"/>
    <xf numFmtId="0" fontId="11" fillId="0" borderId="0" xfId="3" applyFont="1"/>
    <xf numFmtId="0" fontId="11" fillId="0" borderId="6" xfId="3" applyFont="1" applyBorder="1" applyAlignment="1">
      <alignment horizontal="left"/>
    </xf>
    <xf numFmtId="44" fontId="11" fillId="0" borderId="0" xfId="4" applyFont="1" applyBorder="1" applyAlignment="1">
      <alignment horizontal="right"/>
    </xf>
    <xf numFmtId="0" fontId="11" fillId="0" borderId="15" xfId="3" applyFont="1" applyBorder="1" applyAlignment="1">
      <alignment horizontal="left"/>
    </xf>
    <xf numFmtId="0" fontId="11" fillId="0" borderId="16" xfId="3" applyFont="1" applyBorder="1" applyAlignment="1">
      <alignment horizontal="right"/>
    </xf>
    <xf numFmtId="0" fontId="3" fillId="0" borderId="12" xfId="3" applyFont="1" applyBorder="1"/>
    <xf numFmtId="0" fontId="11" fillId="0" borderId="13" xfId="3" applyFont="1" applyBorder="1" applyAlignment="1">
      <alignment horizontal="left"/>
    </xf>
    <xf numFmtId="0" fontId="11" fillId="0" borderId="13" xfId="3" applyFont="1" applyBorder="1" applyAlignment="1">
      <alignment horizontal="right"/>
    </xf>
    <xf numFmtId="8" fontId="11" fillId="0" borderId="0" xfId="3" applyNumberFormat="1" applyFont="1" applyAlignment="1">
      <alignment horizontal="right"/>
    </xf>
    <xf numFmtId="0" fontId="1" fillId="0" borderId="13" xfId="3" applyBorder="1" applyAlignment="1">
      <alignment horizontal="left"/>
    </xf>
    <xf numFmtId="0" fontId="1" fillId="0" borderId="13" xfId="3" applyBorder="1" applyAlignment="1">
      <alignment horizontal="right"/>
    </xf>
    <xf numFmtId="0" fontId="1" fillId="0" borderId="0" xfId="3" applyAlignment="1">
      <alignment horizontal="right"/>
    </xf>
    <xf numFmtId="0" fontId="1" fillId="0" borderId="6" xfId="3" applyBorder="1" applyAlignment="1">
      <alignment horizontal="left"/>
    </xf>
    <xf numFmtId="0" fontId="53" fillId="0" borderId="6" xfId="3" applyFont="1" applyBorder="1"/>
    <xf numFmtId="0" fontId="53" fillId="0" borderId="0" xfId="3" applyFont="1" applyAlignment="1">
      <alignment horizontal="right"/>
    </xf>
    <xf numFmtId="8" fontId="53" fillId="0" borderId="0" xfId="3" applyNumberFormat="1" applyFont="1" applyAlignment="1">
      <alignment horizontal="right"/>
    </xf>
    <xf numFmtId="0" fontId="53" fillId="0" borderId="6" xfId="3" applyFont="1" applyBorder="1" applyAlignment="1">
      <alignment horizontal="left"/>
    </xf>
    <xf numFmtId="44" fontId="53" fillId="0" borderId="0" xfId="4" applyFont="1" applyBorder="1" applyAlignment="1">
      <alignment horizontal="right"/>
    </xf>
    <xf numFmtId="0" fontId="26" fillId="0" borderId="13" xfId="3" applyFont="1" applyBorder="1" applyAlignment="1">
      <alignment horizontal="right"/>
    </xf>
    <xf numFmtId="0" fontId="26" fillId="0" borderId="6" xfId="3" applyFont="1" applyBorder="1" applyAlignment="1">
      <alignment vertical="center"/>
    </xf>
    <xf numFmtId="0" fontId="36" fillId="0" borderId="6" xfId="3" applyFont="1" applyBorder="1"/>
    <xf numFmtId="0" fontId="37" fillId="0" borderId="6" xfId="3" applyFont="1" applyBorder="1"/>
    <xf numFmtId="0" fontId="35" fillId="0" borderId="6" xfId="3" applyFont="1" applyBorder="1" applyAlignment="1">
      <alignment horizontal="left"/>
    </xf>
    <xf numFmtId="0" fontId="26" fillId="0" borderId="8" xfId="3" applyFont="1" applyBorder="1"/>
    <xf numFmtId="0" fontId="26" fillId="0" borderId="9" xfId="3" applyFont="1" applyBorder="1" applyAlignment="1">
      <alignment horizontal="right"/>
    </xf>
    <xf numFmtId="0" fontId="2" fillId="0" borderId="27" xfId="2" applyFont="1" applyBorder="1" applyAlignment="1">
      <alignment horizontal="center" vertical="justify"/>
    </xf>
    <xf numFmtId="0" fontId="2" fillId="0" borderId="67" xfId="2" applyFont="1" applyBorder="1" applyAlignment="1">
      <alignment horizontal="center" vertical="justify"/>
    </xf>
    <xf numFmtId="0" fontId="17" fillId="0" borderId="46" xfId="2" applyFont="1" applyBorder="1" applyAlignment="1">
      <alignment horizontal="center" vertical="justify"/>
    </xf>
    <xf numFmtId="0" fontId="17" fillId="0" borderId="1" xfId="2" applyFont="1" applyBorder="1" applyAlignment="1">
      <alignment vertical="justify"/>
    </xf>
    <xf numFmtId="0" fontId="17" fillId="0" borderId="43" xfId="2" applyFont="1" applyBorder="1" applyAlignment="1">
      <alignment vertical="justify"/>
    </xf>
    <xf numFmtId="0" fontId="5" fillId="0" borderId="62" xfId="3" applyFont="1" applyBorder="1" applyAlignment="1">
      <alignment horizontal="center"/>
    </xf>
    <xf numFmtId="0" fontId="1" fillId="0" borderId="1" xfId="3" applyBorder="1" applyAlignment="1">
      <alignment wrapText="1"/>
    </xf>
    <xf numFmtId="16" fontId="1" fillId="0" borderId="1" xfId="3" applyNumberFormat="1" applyBorder="1"/>
    <xf numFmtId="0" fontId="5" fillId="9" borderId="62" xfId="3" applyFont="1" applyFill="1" applyBorder="1" applyAlignment="1">
      <alignment horizontal="center"/>
    </xf>
    <xf numFmtId="0" fontId="1" fillId="9" borderId="1" xfId="3" applyFill="1" applyBorder="1" applyAlignment="1">
      <alignment wrapText="1"/>
    </xf>
    <xf numFmtId="0" fontId="1" fillId="9" borderId="1" xfId="3" applyFill="1" applyBorder="1"/>
    <xf numFmtId="0" fontId="1" fillId="0" borderId="5" xfId="3" applyBorder="1" applyAlignment="1">
      <alignment horizontal="center" vertical="center" wrapText="1"/>
    </xf>
    <xf numFmtId="0" fontId="1" fillId="9" borderId="5" xfId="3" applyFill="1" applyBorder="1" applyAlignment="1">
      <alignment horizontal="center" vertical="center" wrapText="1"/>
    </xf>
    <xf numFmtId="0" fontId="46" fillId="10" borderId="63" xfId="3" applyFont="1" applyFill="1" applyBorder="1" applyAlignment="1">
      <alignment horizontal="center" vertical="center"/>
    </xf>
    <xf numFmtId="0" fontId="46" fillId="10" borderId="58" xfId="3" applyFont="1" applyFill="1" applyBorder="1" applyAlignment="1">
      <alignment horizontal="center" vertical="center"/>
    </xf>
    <xf numFmtId="0" fontId="46" fillId="10" borderId="65" xfId="3" applyFont="1" applyFill="1" applyBorder="1" applyAlignment="1">
      <alignment horizontal="center" vertical="center"/>
    </xf>
    <xf numFmtId="0" fontId="5" fillId="0" borderId="25" xfId="3" applyFont="1" applyBorder="1" applyAlignment="1">
      <alignment horizontal="center"/>
    </xf>
    <xf numFmtId="0" fontId="1" fillId="0" borderId="29" xfId="3" applyBorder="1" applyAlignment="1">
      <alignment wrapText="1"/>
    </xf>
    <xf numFmtId="0" fontId="1" fillId="0" borderId="27" xfId="3" applyBorder="1" applyAlignment="1">
      <alignment horizontal="center" vertical="center" wrapText="1"/>
    </xf>
    <xf numFmtId="0" fontId="1" fillId="0" borderId="5" xfId="3" quotePrefix="1" applyBorder="1" applyAlignment="1">
      <alignment horizontal="center" vertical="center"/>
    </xf>
    <xf numFmtId="0" fontId="1" fillId="9" borderId="5" xfId="3" applyFill="1" applyBorder="1" applyAlignment="1">
      <alignment horizontal="center" vertical="center"/>
    </xf>
    <xf numFmtId="0" fontId="5" fillId="9" borderId="8" xfId="3" applyFont="1" applyFill="1" applyBorder="1" applyAlignment="1">
      <alignment horizontal="center"/>
    </xf>
    <xf numFmtId="0" fontId="1" fillId="9" borderId="43" xfId="3" applyFill="1" applyBorder="1" applyAlignment="1">
      <alignment wrapText="1"/>
    </xf>
    <xf numFmtId="0" fontId="1" fillId="9" borderId="44" xfId="3" applyFill="1" applyBorder="1" applyAlignment="1">
      <alignment horizontal="center" vertical="center" wrapText="1"/>
    </xf>
    <xf numFmtId="0" fontId="54" fillId="0" borderId="0" xfId="3" applyFont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55" fillId="5" borderId="0" xfId="3" applyFont="1" applyFill="1" applyAlignment="1">
      <alignment horizontal="center" vertical="center"/>
    </xf>
    <xf numFmtId="0" fontId="55" fillId="0" borderId="0" xfId="3" applyFont="1" applyAlignment="1">
      <alignment horizontal="center" vertical="center"/>
    </xf>
    <xf numFmtId="0" fontId="55" fillId="4" borderId="0" xfId="3" applyFont="1" applyFill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0" fillId="2" borderId="43" xfId="3" applyFont="1" applyFill="1" applyBorder="1" applyAlignment="1">
      <alignment horizontal="center" vertical="center" wrapText="1"/>
    </xf>
    <xf numFmtId="0" fontId="20" fillId="5" borderId="43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9" fillId="8" borderId="43" xfId="3" applyFont="1" applyFill="1" applyBorder="1" applyAlignment="1">
      <alignment horizontal="center" vertical="center" wrapText="1"/>
    </xf>
    <xf numFmtId="0" fontId="19" fillId="6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39" xfId="3" applyFont="1" applyBorder="1" applyAlignment="1">
      <alignment horizontal="center" vertical="center"/>
    </xf>
    <xf numFmtId="0" fontId="19" fillId="5" borderId="43" xfId="3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8" fillId="0" borderId="6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0" borderId="9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2" fillId="0" borderId="34" xfId="3" applyFont="1" applyBorder="1" applyAlignment="1">
      <alignment horizontal="center" vertical="center" wrapText="1"/>
    </xf>
    <xf numFmtId="0" fontId="2" fillId="0" borderId="35" xfId="3" applyFont="1" applyBorder="1" applyAlignment="1">
      <alignment horizontal="center" vertical="center" wrapText="1"/>
    </xf>
    <xf numFmtId="0" fontId="2" fillId="0" borderId="36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wrapText="1"/>
    </xf>
    <xf numFmtId="0" fontId="2" fillId="0" borderId="0" xfId="3" applyFont="1" applyAlignment="1">
      <alignment horizontal="center" wrapText="1"/>
    </xf>
    <xf numFmtId="0" fontId="2" fillId="0" borderId="7" xfId="3" applyFont="1" applyBorder="1" applyAlignment="1">
      <alignment horizontal="center" wrapText="1"/>
    </xf>
    <xf numFmtId="0" fontId="2" fillId="0" borderId="8" xfId="3" applyFont="1" applyBorder="1" applyAlignment="1">
      <alignment horizontal="center" wrapText="1"/>
    </xf>
    <xf numFmtId="0" fontId="2" fillId="0" borderId="9" xfId="3" applyFont="1" applyBorder="1" applyAlignment="1">
      <alignment horizontal="center" wrapText="1"/>
    </xf>
    <xf numFmtId="0" fontId="2" fillId="0" borderId="10" xfId="3" applyFont="1" applyBorder="1" applyAlignment="1">
      <alignment horizontal="center" wrapText="1"/>
    </xf>
    <xf numFmtId="14" fontId="21" fillId="0" borderId="22" xfId="3" applyNumberFormat="1" applyFont="1" applyBorder="1" applyAlignment="1">
      <alignment horizontal="center" vertical="center" wrapText="1"/>
    </xf>
    <xf numFmtId="14" fontId="21" fillId="0" borderId="13" xfId="3" applyNumberFormat="1" applyFont="1" applyBorder="1" applyAlignment="1">
      <alignment horizontal="center" vertical="center" wrapText="1"/>
    </xf>
    <xf numFmtId="14" fontId="21" fillId="0" borderId="14" xfId="3" applyNumberFormat="1" applyFont="1" applyBorder="1" applyAlignment="1">
      <alignment horizontal="center" vertical="center" wrapText="1"/>
    </xf>
    <xf numFmtId="14" fontId="21" fillId="0" borderId="28" xfId="3" applyNumberFormat="1" applyFont="1" applyBorder="1" applyAlignment="1">
      <alignment horizontal="center" vertical="center" wrapText="1"/>
    </xf>
    <xf numFmtId="14" fontId="21" fillId="0" borderId="9" xfId="3" applyNumberFormat="1" applyFont="1" applyBorder="1" applyAlignment="1">
      <alignment horizontal="center" vertical="center" wrapText="1"/>
    </xf>
    <xf numFmtId="14" fontId="21" fillId="0" borderId="10" xfId="3" applyNumberFormat="1" applyFont="1" applyBorder="1" applyAlignment="1">
      <alignment horizontal="center" vertical="center" wrapText="1"/>
    </xf>
    <xf numFmtId="0" fontId="8" fillId="0" borderId="29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38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2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0" borderId="0" xfId="3" applyFont="1" applyAlignment="1">
      <alignment horizontal="left" vertical="center" wrapText="1"/>
    </xf>
    <xf numFmtId="0" fontId="21" fillId="0" borderId="33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0" fontId="7" fillId="0" borderId="11" xfId="3" applyFont="1" applyBorder="1" applyAlignment="1">
      <alignment horizontal="left"/>
    </xf>
    <xf numFmtId="0" fontId="7" fillId="0" borderId="19" xfId="3" applyFont="1" applyBorder="1" applyAlignment="1">
      <alignment horizontal="left"/>
    </xf>
    <xf numFmtId="0" fontId="7" fillId="0" borderId="38" xfId="3" applyFont="1" applyBorder="1" applyAlignment="1">
      <alignment horizontal="left"/>
    </xf>
    <xf numFmtId="0" fontId="16" fillId="0" borderId="29" xfId="3" applyFont="1" applyBorder="1" applyAlignment="1">
      <alignment horizontal="left"/>
    </xf>
    <xf numFmtId="0" fontId="16" fillId="0" borderId="19" xfId="3" applyFont="1" applyBorder="1" applyAlignment="1">
      <alignment horizontal="left"/>
    </xf>
    <xf numFmtId="0" fontId="16" fillId="0" borderId="18" xfId="3" applyFont="1" applyBorder="1" applyAlignment="1">
      <alignment horizontal="left"/>
    </xf>
    <xf numFmtId="0" fontId="6" fillId="0" borderId="12" xfId="3" applyFont="1" applyBorder="1" applyAlignment="1">
      <alignment horizontal="center" vertical="center" wrapText="1"/>
    </xf>
    <xf numFmtId="0" fontId="6" fillId="0" borderId="13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7" xfId="3" applyFont="1" applyBorder="1" applyAlignment="1">
      <alignment horizontal="center" vertical="center" wrapText="1"/>
    </xf>
    <xf numFmtId="0" fontId="14" fillId="0" borderId="0" xfId="2" applyFont="1" applyAlignment="1">
      <alignment horizontal="left" vertical="center"/>
    </xf>
    <xf numFmtId="0" fontId="1" fillId="0" borderId="0" xfId="2" applyAlignment="1">
      <alignment vertical="center"/>
    </xf>
    <xf numFmtId="0" fontId="14" fillId="0" borderId="0" xfId="2" applyFont="1" applyAlignment="1">
      <alignment vertical="center"/>
    </xf>
    <xf numFmtId="0" fontId="14" fillId="0" borderId="0" xfId="2" applyFont="1" applyAlignment="1">
      <alignment horizontal="center" vertical="center"/>
    </xf>
    <xf numFmtId="0" fontId="44" fillId="0" borderId="6" xfId="2" applyFont="1" applyBorder="1" applyAlignment="1">
      <alignment vertical="justify"/>
    </xf>
    <xf numFmtId="0" fontId="44" fillId="0" borderId="0" xfId="2" applyFont="1" applyAlignment="1">
      <alignment vertical="justify"/>
    </xf>
    <xf numFmtId="0" fontId="44" fillId="0" borderId="7" xfId="2" applyFont="1" applyBorder="1" applyAlignment="1">
      <alignment vertical="justify"/>
    </xf>
    <xf numFmtId="0" fontId="44" fillId="0" borderId="8" xfId="2" applyFont="1" applyBorder="1" applyAlignment="1">
      <alignment vertical="justify"/>
    </xf>
    <xf numFmtId="0" fontId="44" fillId="0" borderId="9" xfId="2" applyFont="1" applyBorder="1" applyAlignment="1">
      <alignment vertical="justify"/>
    </xf>
    <xf numFmtId="0" fontId="44" fillId="0" borderId="10" xfId="2" applyFont="1" applyBorder="1" applyAlignment="1">
      <alignment vertical="justify"/>
    </xf>
    <xf numFmtId="0" fontId="43" fillId="9" borderId="8" xfId="2" applyFont="1" applyFill="1" applyBorder="1" applyAlignment="1">
      <alignment horizontal="center" vertical="center" wrapText="1"/>
    </xf>
    <xf numFmtId="0" fontId="43" fillId="9" borderId="45" xfId="2" applyFont="1" applyFill="1" applyBorder="1" applyAlignment="1">
      <alignment horizontal="center" vertical="center" wrapText="1"/>
    </xf>
    <xf numFmtId="0" fontId="43" fillId="9" borderId="28" xfId="2" applyFont="1" applyFill="1" applyBorder="1" applyAlignment="1">
      <alignment horizontal="left" vertical="center" wrapText="1"/>
    </xf>
    <xf numFmtId="0" fontId="43" fillId="9" borderId="45" xfId="2" applyFont="1" applyFill="1" applyBorder="1" applyAlignment="1">
      <alignment horizontal="left" vertical="center" wrapText="1"/>
    </xf>
    <xf numFmtId="0" fontId="43" fillId="9" borderId="10" xfId="2" applyFont="1" applyFill="1" applyBorder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1" fillId="0" borderId="0" xfId="2" applyFont="1" applyAlignment="1">
      <alignment horizontal="left"/>
    </xf>
    <xf numFmtId="0" fontId="22" fillId="0" borderId="6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3" fillId="0" borderId="62" xfId="2" applyFont="1" applyBorder="1" applyAlignment="1">
      <alignment horizontal="center" vertical="center" wrapText="1"/>
    </xf>
    <xf numFmtId="0" fontId="43" fillId="0" borderId="24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left" vertical="center" wrapText="1"/>
    </xf>
    <xf numFmtId="0" fontId="11" fillId="0" borderId="24" xfId="2" applyFont="1" applyBorder="1" applyAlignment="1">
      <alignment horizontal="left" vertical="center" wrapText="1"/>
    </xf>
    <xf numFmtId="0" fontId="11" fillId="0" borderId="37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38" xfId="2" applyFont="1" applyBorder="1" applyAlignment="1">
      <alignment horizontal="left"/>
    </xf>
    <xf numFmtId="0" fontId="11" fillId="0" borderId="19" xfId="2" applyFont="1" applyBorder="1" applyAlignment="1">
      <alignment horizontal="left"/>
    </xf>
    <xf numFmtId="0" fontId="11" fillId="0" borderId="38" xfId="2" applyFont="1" applyBorder="1" applyAlignment="1">
      <alignment horizontal="left"/>
    </xf>
    <xf numFmtId="0" fontId="11" fillId="0" borderId="29" xfId="2" applyFont="1" applyBorder="1" applyAlignment="1">
      <alignment horizontal="left"/>
    </xf>
    <xf numFmtId="0" fontId="11" fillId="0" borderId="18" xfId="2" applyFont="1" applyBorder="1" applyAlignment="1">
      <alignment horizontal="left"/>
    </xf>
    <xf numFmtId="0" fontId="2" fillId="0" borderId="0" xfId="2" applyFont="1" applyAlignment="1">
      <alignment horizontal="left"/>
    </xf>
    <xf numFmtId="0" fontId="1" fillId="0" borderId="6" xfId="2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17" fillId="0" borderId="0" xfId="2" applyFont="1" applyAlignment="1">
      <alignment horizontal="left" vertical="justify"/>
    </xf>
    <xf numFmtId="0" fontId="1" fillId="0" borderId="39" xfId="2" applyBorder="1" applyAlignment="1">
      <alignment horizontal="left" vertical="center" wrapText="1"/>
    </xf>
    <xf numFmtId="0" fontId="1" fillId="0" borderId="43" xfId="2" applyBorder="1" applyAlignment="1">
      <alignment horizontal="left" vertical="center" wrapText="1"/>
    </xf>
    <xf numFmtId="0" fontId="1" fillId="0" borderId="48" xfId="2" applyBorder="1" applyAlignment="1">
      <alignment horizontal="center" vertical="center" wrapText="1"/>
    </xf>
    <xf numFmtId="0" fontId="1" fillId="0" borderId="41" xfId="2" applyBorder="1" applyAlignment="1">
      <alignment horizontal="center" vertical="center" wrapText="1"/>
    </xf>
    <xf numFmtId="0" fontId="1" fillId="0" borderId="47" xfId="2" applyBorder="1" applyAlignment="1">
      <alignment horizontal="center" vertical="center" wrapText="1"/>
    </xf>
    <xf numFmtId="0" fontId="17" fillId="0" borderId="6" xfId="2" applyFont="1" applyBorder="1" applyAlignment="1">
      <alignment horizontal="left" vertical="justify"/>
    </xf>
    <xf numFmtId="0" fontId="2" fillId="0" borderId="4" xfId="2" applyFont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 wrapText="1"/>
    </xf>
    <xf numFmtId="0" fontId="1" fillId="0" borderId="62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37" xfId="2" applyBorder="1" applyAlignment="1">
      <alignment horizontal="center" vertical="center" wrapText="1"/>
    </xf>
    <xf numFmtId="0" fontId="2" fillId="0" borderId="62" xfId="2" applyFont="1" applyBorder="1" applyAlignment="1">
      <alignment horizontal="left" vertical="center" wrapText="1"/>
    </xf>
    <xf numFmtId="0" fontId="2" fillId="0" borderId="24" xfId="2" applyFont="1" applyBorder="1" applyAlignment="1">
      <alignment horizontal="left" vertical="center" wrapText="1"/>
    </xf>
    <xf numFmtId="0" fontId="2" fillId="0" borderId="25" xfId="2" applyFont="1" applyBorder="1" applyAlignment="1">
      <alignment horizontal="left" vertical="justify"/>
    </xf>
    <xf numFmtId="0" fontId="2" fillId="0" borderId="26" xfId="2" applyFont="1" applyBorder="1" applyAlignment="1">
      <alignment horizontal="left" vertical="justify"/>
    </xf>
    <xf numFmtId="0" fontId="45" fillId="0" borderId="11" xfId="2" applyFont="1" applyBorder="1" applyAlignment="1">
      <alignment horizontal="center" vertical="justify"/>
    </xf>
    <xf numFmtId="0" fontId="45" fillId="0" borderId="19" xfId="2" applyFont="1" applyBorder="1" applyAlignment="1">
      <alignment horizontal="center" vertical="justify"/>
    </xf>
    <xf numFmtId="0" fontId="45" fillId="0" borderId="18" xfId="2" applyFont="1" applyBorder="1" applyAlignment="1">
      <alignment horizontal="center" vertical="justify"/>
    </xf>
    <xf numFmtId="0" fontId="2" fillId="0" borderId="56" xfId="2" applyFont="1" applyBorder="1" applyAlignment="1">
      <alignment horizontal="center" vertical="justify"/>
    </xf>
    <xf numFmtId="0" fontId="2" fillId="0" borderId="59" xfId="2" applyFont="1" applyBorder="1" applyAlignment="1">
      <alignment horizontal="center" vertical="justify"/>
    </xf>
    <xf numFmtId="0" fontId="2" fillId="0" borderId="60" xfId="2" applyFont="1" applyBorder="1" applyAlignment="1">
      <alignment horizontal="center" vertical="justify"/>
    </xf>
    <xf numFmtId="0" fontId="1" fillId="0" borderId="4" xfId="2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1" fillId="0" borderId="1" xfId="2" applyBorder="1" applyAlignment="1">
      <alignment horizontal="center" vertical="center" wrapText="1"/>
    </xf>
    <xf numFmtId="0" fontId="1" fillId="0" borderId="5" xfId="2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justify"/>
    </xf>
    <xf numFmtId="0" fontId="17" fillId="0" borderId="5" xfId="2" applyFont="1" applyBorder="1" applyAlignment="1">
      <alignment horizontal="center" vertical="justify"/>
    </xf>
    <xf numFmtId="0" fontId="1" fillId="0" borderId="39" xfId="2" applyBorder="1" applyAlignment="1">
      <alignment vertical="center" wrapText="1"/>
    </xf>
    <xf numFmtId="0" fontId="1" fillId="0" borderId="43" xfId="2" applyBorder="1" applyAlignment="1">
      <alignment vertical="center" wrapText="1"/>
    </xf>
    <xf numFmtId="0" fontId="17" fillId="0" borderId="43" xfId="2" applyFont="1" applyBorder="1" applyAlignment="1">
      <alignment horizontal="center" vertical="justify"/>
    </xf>
    <xf numFmtId="0" fontId="17" fillId="0" borderId="44" xfId="2" applyFont="1" applyBorder="1" applyAlignment="1">
      <alignment horizontal="center" vertical="justify"/>
    </xf>
    <xf numFmtId="0" fontId="1" fillId="0" borderId="66" xfId="2" applyBorder="1" applyAlignment="1">
      <alignment vertical="center" wrapText="1"/>
    </xf>
    <xf numFmtId="0" fontId="1" fillId="0" borderId="68" xfId="2" applyBorder="1" applyAlignment="1">
      <alignment vertical="center" wrapText="1"/>
    </xf>
    <xf numFmtId="0" fontId="1" fillId="0" borderId="68" xfId="2" applyBorder="1" applyAlignment="1">
      <alignment horizontal="center" vertical="center" wrapText="1"/>
    </xf>
    <xf numFmtId="0" fontId="1" fillId="0" borderId="67" xfId="2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/>
    </xf>
    <xf numFmtId="0" fontId="11" fillId="0" borderId="2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2" fillId="0" borderId="63" xfId="2" applyFont="1" applyBorder="1" applyAlignment="1">
      <alignment horizontal="left" vertical="justify"/>
    </xf>
    <xf numFmtId="0" fontId="2" fillId="0" borderId="64" xfId="2" applyFont="1" applyBorder="1" applyAlignment="1">
      <alignment horizontal="left" vertical="justify"/>
    </xf>
    <xf numFmtId="0" fontId="2" fillId="0" borderId="64" xfId="2" applyFont="1" applyBorder="1" applyAlignment="1">
      <alignment horizontal="center" vertical="justify"/>
    </xf>
    <xf numFmtId="0" fontId="2" fillId="0" borderId="65" xfId="2" applyFont="1" applyBorder="1" applyAlignment="1">
      <alignment horizontal="center" vertical="justify"/>
    </xf>
    <xf numFmtId="0" fontId="17" fillId="0" borderId="63" xfId="2" applyFont="1" applyBorder="1" applyAlignment="1">
      <alignment horizontal="left" vertical="justify"/>
    </xf>
    <xf numFmtId="0" fontId="17" fillId="0" borderId="64" xfId="2" applyFont="1" applyBorder="1" applyAlignment="1">
      <alignment horizontal="left" vertical="justify"/>
    </xf>
    <xf numFmtId="0" fontId="17" fillId="0" borderId="65" xfId="2" applyFont="1" applyBorder="1" applyAlignment="1">
      <alignment horizontal="left" vertical="justify"/>
    </xf>
    <xf numFmtId="0" fontId="2" fillId="0" borderId="63" xfId="2" applyFont="1" applyBorder="1" applyAlignment="1">
      <alignment horizontal="center" vertical="justify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11" fillId="0" borderId="12" xfId="2" applyFont="1" applyBorder="1" applyAlignment="1">
      <alignment horizontal="left" vertical="center"/>
    </xf>
    <xf numFmtId="0" fontId="11" fillId="0" borderId="20" xfId="2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11" fillId="0" borderId="45" xfId="2" applyFont="1" applyBorder="1" applyAlignment="1">
      <alignment horizontal="left" vertical="center"/>
    </xf>
    <xf numFmtId="0" fontId="11" fillId="0" borderId="22" xfId="2" applyFont="1" applyBorder="1" applyAlignment="1">
      <alignment horizontal="left" vertical="center"/>
    </xf>
    <xf numFmtId="0" fontId="11" fillId="0" borderId="13" xfId="2" applyFont="1" applyBorder="1" applyAlignment="1">
      <alignment horizontal="left" vertical="center"/>
    </xf>
    <xf numFmtId="0" fontId="11" fillId="0" borderId="28" xfId="2" applyFont="1" applyBorder="1" applyAlignment="1">
      <alignment horizontal="left" vertical="center"/>
    </xf>
    <xf numFmtId="0" fontId="11" fillId="0" borderId="9" xfId="2" applyFont="1" applyBorder="1" applyAlignment="1">
      <alignment horizontal="left" vertical="center"/>
    </xf>
    <xf numFmtId="0" fontId="11" fillId="0" borderId="14" xfId="2" applyFont="1" applyBorder="1" applyAlignment="1">
      <alignment horizontal="left" vertical="center"/>
    </xf>
    <xf numFmtId="0" fontId="11" fillId="0" borderId="10" xfId="2" applyFont="1" applyBorder="1" applyAlignment="1">
      <alignment horizontal="left" vertical="center"/>
    </xf>
    <xf numFmtId="0" fontId="1" fillId="0" borderId="56" xfId="2" applyBorder="1" applyAlignment="1">
      <alignment horizontal="center" vertical="justify"/>
    </xf>
    <xf numFmtId="0" fontId="1" fillId="0" borderId="57" xfId="2" applyBorder="1" applyAlignment="1">
      <alignment horizontal="center" vertical="justify"/>
    </xf>
    <xf numFmtId="0" fontId="11" fillId="0" borderId="58" xfId="2" applyFont="1" applyBorder="1" applyAlignment="1">
      <alignment horizontal="center" vertical="justify"/>
    </xf>
    <xf numFmtId="0" fontId="11" fillId="0" borderId="57" xfId="2" applyFont="1" applyBorder="1" applyAlignment="1">
      <alignment horizontal="center" vertical="justify"/>
    </xf>
    <xf numFmtId="0" fontId="17" fillId="0" borderId="28" xfId="2" applyFont="1" applyBorder="1" applyAlignment="1">
      <alignment horizontal="center" vertical="justify"/>
    </xf>
    <xf numFmtId="0" fontId="17" fillId="0" borderId="10" xfId="2" applyFont="1" applyBorder="1" applyAlignment="1">
      <alignment horizontal="center" vertical="justify"/>
    </xf>
    <xf numFmtId="0" fontId="1" fillId="0" borderId="66" xfId="2" applyBorder="1" applyAlignment="1">
      <alignment horizontal="left" vertical="center" wrapText="1"/>
    </xf>
    <xf numFmtId="0" fontId="1" fillId="0" borderId="68" xfId="2" applyBorder="1" applyAlignment="1">
      <alignment horizontal="left" vertical="center" wrapText="1"/>
    </xf>
    <xf numFmtId="0" fontId="1" fillId="0" borderId="6" xfId="2" applyBorder="1" applyAlignment="1">
      <alignment vertical="center" wrapText="1"/>
    </xf>
    <xf numFmtId="0" fontId="1" fillId="0" borderId="0" xfId="2" applyAlignment="1">
      <alignment vertical="center" wrapText="1"/>
    </xf>
    <xf numFmtId="0" fontId="14" fillId="0" borderId="40" xfId="2" applyFont="1" applyBorder="1" applyAlignment="1">
      <alignment horizontal="left" vertical="center" wrapText="1"/>
    </xf>
    <xf numFmtId="0" fontId="14" fillId="0" borderId="42" xfId="2" applyFont="1" applyBorder="1" applyAlignment="1">
      <alignment horizontal="left" vertical="center" wrapText="1"/>
    </xf>
    <xf numFmtId="0" fontId="8" fillId="0" borderId="41" xfId="2" applyFont="1" applyBorder="1" applyAlignment="1">
      <alignment horizontal="left" vertical="center" wrapText="1"/>
    </xf>
    <xf numFmtId="0" fontId="8" fillId="0" borderId="42" xfId="2" applyFont="1" applyBorder="1" applyAlignment="1">
      <alignment horizontal="left" vertical="center" wrapText="1"/>
    </xf>
    <xf numFmtId="0" fontId="1" fillId="0" borderId="4" xfId="2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11" fillId="0" borderId="15" xfId="2" applyFont="1" applyBorder="1" applyAlignment="1">
      <alignment horizontal="left" vertical="center"/>
    </xf>
    <xf numFmtId="0" fontId="11" fillId="0" borderId="21" xfId="2" applyFont="1" applyBorder="1" applyAlignment="1">
      <alignment horizontal="left" vertical="center"/>
    </xf>
    <xf numFmtId="0" fontId="11" fillId="0" borderId="23" xfId="2" applyFont="1" applyBorder="1" applyAlignment="1">
      <alignment horizontal="left" vertical="center"/>
    </xf>
    <xf numFmtId="0" fontId="11" fillId="0" borderId="16" xfId="2" applyFont="1" applyBorder="1" applyAlignment="1">
      <alignment horizontal="left" vertical="center"/>
    </xf>
    <xf numFmtId="0" fontId="11" fillId="0" borderId="5" xfId="2" applyFont="1" applyBorder="1" applyAlignment="1">
      <alignment horizontal="left" vertical="center"/>
    </xf>
    <xf numFmtId="0" fontId="14" fillId="0" borderId="51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0" fontId="14" fillId="0" borderId="50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18" fillId="0" borderId="9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1" fillId="0" borderId="29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9" fillId="0" borderId="1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8" fillId="0" borderId="34" xfId="3" applyFont="1" applyBorder="1" applyAlignment="1">
      <alignment horizontal="center" vertical="center" wrapText="1"/>
    </xf>
    <xf numFmtId="0" fontId="8" fillId="0" borderId="35" xfId="3" applyFont="1" applyBorder="1" applyAlignment="1">
      <alignment horizontal="center" vertical="center" wrapText="1"/>
    </xf>
    <xf numFmtId="0" fontId="8" fillId="0" borderId="36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0" borderId="9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" fillId="0" borderId="25" xfId="3" applyFont="1" applyBorder="1" applyAlignment="1">
      <alignment horizontal="left"/>
    </xf>
    <xf numFmtId="0" fontId="2" fillId="0" borderId="26" xfId="3" applyFont="1" applyBorder="1" applyAlignment="1">
      <alignment horizontal="left"/>
    </xf>
    <xf numFmtId="0" fontId="2" fillId="0" borderId="27" xfId="3" applyFont="1" applyBorder="1" applyAlignment="1">
      <alignment horizontal="left"/>
    </xf>
    <xf numFmtId="0" fontId="7" fillId="0" borderId="4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25" fillId="0" borderId="54" xfId="3" applyFont="1" applyBorder="1" applyAlignment="1">
      <alignment horizontal="center"/>
    </xf>
    <xf numFmtId="0" fontId="26" fillId="0" borderId="54" xfId="3" applyFont="1" applyBorder="1" applyAlignment="1">
      <alignment horizontal="center"/>
    </xf>
    <xf numFmtId="0" fontId="25" fillId="0" borderId="55" xfId="3" applyFont="1" applyBorder="1" applyAlignment="1">
      <alignment horizontal="center"/>
    </xf>
    <xf numFmtId="0" fontId="26" fillId="0" borderId="55" xfId="3" applyFont="1" applyBorder="1" applyAlignment="1">
      <alignment horizontal="center"/>
    </xf>
    <xf numFmtId="0" fontId="27" fillId="0" borderId="34" xfId="3" applyFont="1" applyBorder="1" applyAlignment="1">
      <alignment horizontal="center" vertical="center"/>
    </xf>
    <xf numFmtId="0" fontId="27" fillId="0" borderId="35" xfId="3" applyFont="1" applyBorder="1" applyAlignment="1">
      <alignment horizontal="center" vertical="center"/>
    </xf>
    <xf numFmtId="0" fontId="27" fillId="0" borderId="36" xfId="3" applyFont="1" applyBorder="1" applyAlignment="1">
      <alignment horizontal="center" vertical="center"/>
    </xf>
    <xf numFmtId="0" fontId="27" fillId="0" borderId="8" xfId="3" applyFont="1" applyBorder="1" applyAlignment="1">
      <alignment horizontal="center" vertical="center"/>
    </xf>
    <xf numFmtId="0" fontId="27" fillId="0" borderId="9" xfId="3" applyFont="1" applyBorder="1" applyAlignment="1">
      <alignment horizontal="center" vertical="center"/>
    </xf>
    <xf numFmtId="0" fontId="27" fillId="0" borderId="10" xfId="3" applyFont="1" applyBorder="1" applyAlignment="1">
      <alignment horizontal="center" vertical="center"/>
    </xf>
    <xf numFmtId="0" fontId="1" fillId="0" borderId="34" xfId="3" applyBorder="1" applyAlignment="1">
      <alignment horizontal="left" vertical="center"/>
    </xf>
    <xf numFmtId="0" fontId="1" fillId="0" borderId="36" xfId="3" applyBorder="1" applyAlignment="1">
      <alignment horizontal="left" vertical="center"/>
    </xf>
    <xf numFmtId="0" fontId="1" fillId="0" borderId="8" xfId="3" applyBorder="1" applyAlignment="1">
      <alignment horizontal="left" vertical="center"/>
    </xf>
    <xf numFmtId="0" fontId="1" fillId="0" borderId="10" xfId="3" applyBorder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2" fillId="0" borderId="0" xfId="3" applyFont="1" applyAlignment="1">
      <alignment horizontal="center" vertical="center"/>
    </xf>
    <xf numFmtId="0" fontId="3" fillId="0" borderId="26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43" xfId="3" applyFont="1" applyBorder="1" applyAlignment="1">
      <alignment horizontal="center" vertical="center" wrapText="1"/>
    </xf>
    <xf numFmtId="0" fontId="1" fillId="0" borderId="58" xfId="3" applyBorder="1" applyAlignment="1">
      <alignment horizontal="left" vertical="center"/>
    </xf>
    <xf numFmtId="0" fontId="1" fillId="0" borderId="57" xfId="3" applyBorder="1" applyAlignment="1">
      <alignment horizontal="left" vertical="center"/>
    </xf>
    <xf numFmtId="14" fontId="1" fillId="0" borderId="58" xfId="3" applyNumberFormat="1" applyBorder="1" applyAlignment="1">
      <alignment horizontal="left" vertical="center"/>
    </xf>
    <xf numFmtId="14" fontId="1" fillId="0" borderId="59" xfId="3" applyNumberFormat="1" applyBorder="1" applyAlignment="1">
      <alignment horizontal="left" vertical="center"/>
    </xf>
    <xf numFmtId="14" fontId="1" fillId="0" borderId="60" xfId="3" applyNumberFormat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3" fillId="0" borderId="34" xfId="3" applyFont="1" applyBorder="1" applyAlignment="1">
      <alignment horizontal="center" vertical="top"/>
    </xf>
    <xf numFmtId="0" fontId="1" fillId="0" borderId="35" xfId="3" applyBorder="1" applyAlignment="1">
      <alignment horizontal="center" vertical="top"/>
    </xf>
    <xf numFmtId="0" fontId="1" fillId="0" borderId="6" xfId="3" applyBorder="1" applyAlignment="1">
      <alignment horizontal="center" vertical="top"/>
    </xf>
    <xf numFmtId="0" fontId="1" fillId="0" borderId="0" xfId="3" applyAlignment="1">
      <alignment horizontal="center" vertical="top"/>
    </xf>
    <xf numFmtId="0" fontId="11" fillId="0" borderId="34" xfId="3" applyFont="1" applyBorder="1" applyAlignment="1">
      <alignment horizontal="left" vertical="center"/>
    </xf>
    <xf numFmtId="0" fontId="11" fillId="0" borderId="35" xfId="3" applyFont="1" applyBorder="1" applyAlignment="1">
      <alignment horizontal="left" vertical="center"/>
    </xf>
    <xf numFmtId="0" fontId="11" fillId="0" borderId="36" xfId="3" applyFont="1" applyBorder="1" applyAlignment="1">
      <alignment horizontal="left" vertical="center"/>
    </xf>
    <xf numFmtId="0" fontId="11" fillId="0" borderId="8" xfId="3" applyFont="1" applyBorder="1" applyAlignment="1">
      <alignment horizontal="left" vertical="center"/>
    </xf>
    <xf numFmtId="0" fontId="11" fillId="0" borderId="9" xfId="3" applyFont="1" applyBorder="1" applyAlignment="1">
      <alignment horizontal="left" vertical="center"/>
    </xf>
    <xf numFmtId="0" fontId="11" fillId="0" borderId="10" xfId="3" applyFont="1" applyBorder="1" applyAlignment="1">
      <alignment horizontal="left" vertical="center"/>
    </xf>
    <xf numFmtId="0" fontId="1" fillId="0" borderId="0" xfId="3" applyAlignment="1">
      <alignment horizontal="left" vertical="center"/>
    </xf>
    <xf numFmtId="0" fontId="11" fillId="0" borderId="8" xfId="3" applyFont="1" applyBorder="1" applyAlignment="1">
      <alignment horizontal="center" vertical="top"/>
    </xf>
    <xf numFmtId="0" fontId="11" fillId="0" borderId="9" xfId="3" applyFont="1" applyBorder="1" applyAlignment="1">
      <alignment horizontal="center" vertical="top"/>
    </xf>
    <xf numFmtId="0" fontId="11" fillId="0" borderId="10" xfId="3" applyFont="1" applyBorder="1" applyAlignment="1">
      <alignment horizontal="center" vertical="top"/>
    </xf>
    <xf numFmtId="0" fontId="3" fillId="0" borderId="34" xfId="3" applyFont="1" applyBorder="1" applyAlignment="1">
      <alignment horizontal="left" vertical="center" wrapText="1"/>
    </xf>
    <xf numFmtId="0" fontId="3" fillId="0" borderId="35" xfId="3" applyFont="1" applyBorder="1" applyAlignment="1">
      <alignment horizontal="left" vertical="center"/>
    </xf>
    <xf numFmtId="0" fontId="3" fillId="0" borderId="6" xfId="3" applyFont="1" applyBorder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30" fillId="0" borderId="54" xfId="3" applyFont="1" applyBorder="1" applyAlignment="1">
      <alignment horizontal="center" vertical="center"/>
    </xf>
    <xf numFmtId="0" fontId="30" fillId="0" borderId="55" xfId="3" applyFont="1" applyBorder="1" applyAlignment="1">
      <alignment horizontal="center" vertical="center"/>
    </xf>
    <xf numFmtId="0" fontId="3" fillId="0" borderId="27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44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/>
    </xf>
    <xf numFmtId="0" fontId="2" fillId="0" borderId="34" xfId="3" applyFont="1" applyBorder="1" applyAlignment="1">
      <alignment horizontal="center"/>
    </xf>
    <xf numFmtId="0" fontId="2" fillId="0" borderId="35" xfId="3" applyFont="1" applyBorder="1" applyAlignment="1">
      <alignment horizontal="center"/>
    </xf>
    <xf numFmtId="0" fontId="2" fillId="0" borderId="26" xfId="3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0" fontId="2" fillId="0" borderId="43" xfId="3" applyFont="1" applyBorder="1" applyAlignment="1">
      <alignment horizontal="center" vertical="center" wrapText="1"/>
    </xf>
    <xf numFmtId="0" fontId="34" fillId="0" borderId="68" xfId="3" applyFont="1" applyBorder="1" applyAlignment="1">
      <alignment horizontal="center" vertical="center"/>
    </xf>
    <xf numFmtId="0" fontId="34" fillId="0" borderId="1" xfId="3" applyFont="1" applyBorder="1" applyAlignment="1">
      <alignment horizontal="center" vertical="center"/>
    </xf>
    <xf numFmtId="0" fontId="34" fillId="0" borderId="67" xfId="3" applyFont="1" applyBorder="1" applyAlignment="1">
      <alignment horizontal="center" vertical="center"/>
    </xf>
    <xf numFmtId="0" fontId="34" fillId="0" borderId="5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68" xfId="3" applyFont="1" applyBorder="1" applyAlignment="1">
      <alignment horizontal="center" vertical="center"/>
    </xf>
    <xf numFmtId="0" fontId="3" fillId="0" borderId="68" xfId="3" applyFont="1" applyBorder="1" applyAlignment="1">
      <alignment horizontal="center" vertical="center" wrapText="1"/>
    </xf>
    <xf numFmtId="0" fontId="1" fillId="0" borderId="56" xfId="3" applyBorder="1" applyAlignment="1">
      <alignment horizontal="left" vertical="center"/>
    </xf>
    <xf numFmtId="0" fontId="25" fillId="0" borderId="0" xfId="3" applyFont="1" applyAlignment="1">
      <alignment horizontal="center"/>
    </xf>
    <xf numFmtId="0" fontId="26" fillId="0" borderId="0" xfId="3" applyFont="1" applyAlignment="1">
      <alignment horizontal="center"/>
    </xf>
    <xf numFmtId="0" fontId="38" fillId="0" borderId="0" xfId="3" applyFont="1" applyAlignment="1">
      <alignment horizontal="center" vertical="center"/>
    </xf>
    <xf numFmtId="0" fontId="26" fillId="0" borderId="0" xfId="3" applyFont="1" applyAlignment="1">
      <alignment horizontal="left" vertical="center"/>
    </xf>
    <xf numFmtId="0" fontId="26" fillId="0" borderId="1" xfId="3" applyFont="1" applyBorder="1" applyAlignment="1">
      <alignment horizontal="center" vertical="center"/>
    </xf>
    <xf numFmtId="0" fontId="26" fillId="0" borderId="5" xfId="3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/>
    </xf>
    <xf numFmtId="0" fontId="26" fillId="0" borderId="6" xfId="3" applyFont="1" applyBorder="1" applyAlignment="1">
      <alignment horizontal="left" vertical="center" wrapText="1"/>
    </xf>
    <xf numFmtId="0" fontId="26" fillId="0" borderId="0" xfId="3" applyFont="1" applyAlignment="1">
      <alignment horizontal="left" vertical="center" wrapText="1"/>
    </xf>
    <xf numFmtId="0" fontId="26" fillId="0" borderId="32" xfId="3" applyFont="1" applyBorder="1" applyAlignment="1">
      <alignment horizontal="left" vertical="center" wrapText="1"/>
    </xf>
    <xf numFmtId="0" fontId="26" fillId="0" borderId="33" xfId="3" applyFont="1" applyBorder="1" applyAlignment="1">
      <alignment horizontal="left" vertical="center" wrapText="1"/>
    </xf>
    <xf numFmtId="2" fontId="33" fillId="0" borderId="22" xfId="3" applyNumberFormat="1" applyFont="1" applyBorder="1" applyAlignment="1">
      <alignment horizontal="center" vertical="center"/>
    </xf>
    <xf numFmtId="2" fontId="33" fillId="0" borderId="13" xfId="3" applyNumberFormat="1" applyFont="1" applyBorder="1" applyAlignment="1">
      <alignment horizontal="center" vertical="center"/>
    </xf>
    <xf numFmtId="2" fontId="33" fillId="0" borderId="32" xfId="3" applyNumberFormat="1" applyFont="1" applyBorder="1" applyAlignment="1">
      <alignment horizontal="center" vertical="center"/>
    </xf>
    <xf numFmtId="2" fontId="33" fillId="0" borderId="0" xfId="3" applyNumberFormat="1" applyFont="1" applyAlignment="1">
      <alignment horizontal="center" vertical="center"/>
    </xf>
    <xf numFmtId="2" fontId="33" fillId="0" borderId="23" xfId="3" applyNumberFormat="1" applyFont="1" applyBorder="1" applyAlignment="1">
      <alignment horizontal="center" vertical="center"/>
    </xf>
    <xf numFmtId="2" fontId="33" fillId="0" borderId="16" xfId="3" applyNumberFormat="1" applyFont="1" applyBorder="1" applyAlignment="1">
      <alignment horizontal="center" vertical="center"/>
    </xf>
    <xf numFmtId="0" fontId="26" fillId="0" borderId="22" xfId="3" applyFont="1" applyBorder="1" applyAlignment="1">
      <alignment horizontal="center"/>
    </xf>
    <xf numFmtId="0" fontId="26" fillId="0" borderId="20" xfId="3" applyFont="1" applyBorder="1" applyAlignment="1">
      <alignment horizontal="center"/>
    </xf>
    <xf numFmtId="2" fontId="33" fillId="0" borderId="33" xfId="3" applyNumberFormat="1" applyFont="1" applyBorder="1" applyAlignment="1">
      <alignment horizontal="center" vertical="center"/>
    </xf>
    <xf numFmtId="2" fontId="33" fillId="0" borderId="28" xfId="3" applyNumberFormat="1" applyFont="1" applyBorder="1" applyAlignment="1">
      <alignment horizontal="center" vertical="center"/>
    </xf>
    <xf numFmtId="2" fontId="33" fillId="0" borderId="45" xfId="3" applyNumberFormat="1" applyFont="1" applyBorder="1" applyAlignment="1">
      <alignment horizontal="center" vertical="center"/>
    </xf>
    <xf numFmtId="2" fontId="33" fillId="0" borderId="20" xfId="3" applyNumberFormat="1" applyFont="1" applyBorder="1" applyAlignment="1">
      <alignment horizontal="center" vertical="center"/>
    </xf>
    <xf numFmtId="2" fontId="33" fillId="0" borderId="21" xfId="3" applyNumberFormat="1" applyFont="1" applyBorder="1" applyAlignment="1">
      <alignment horizontal="center" vertical="center"/>
    </xf>
    <xf numFmtId="2" fontId="26" fillId="0" borderId="22" xfId="3" applyNumberFormat="1" applyFont="1" applyBorder="1" applyAlignment="1">
      <alignment horizontal="center" vertical="center"/>
    </xf>
    <xf numFmtId="2" fontId="26" fillId="0" borderId="20" xfId="3" applyNumberFormat="1" applyFont="1" applyBorder="1" applyAlignment="1">
      <alignment horizontal="center" vertical="center"/>
    </xf>
    <xf numFmtId="2" fontId="26" fillId="0" borderId="32" xfId="3" applyNumberFormat="1" applyFont="1" applyBorder="1" applyAlignment="1">
      <alignment horizontal="center" vertical="center"/>
    </xf>
    <xf numFmtId="2" fontId="26" fillId="0" borderId="33" xfId="3" applyNumberFormat="1" applyFont="1" applyBorder="1" applyAlignment="1">
      <alignment horizontal="center" vertical="center"/>
    </xf>
    <xf numFmtId="2" fontId="26" fillId="0" borderId="23" xfId="3" applyNumberFormat="1" applyFont="1" applyBorder="1" applyAlignment="1">
      <alignment horizontal="center" vertical="center"/>
    </xf>
    <xf numFmtId="2" fontId="26" fillId="0" borderId="21" xfId="3" applyNumberFormat="1" applyFont="1" applyBorder="1" applyAlignment="1">
      <alignment horizontal="center" vertical="center"/>
    </xf>
    <xf numFmtId="0" fontId="35" fillId="0" borderId="22" xfId="3" applyFont="1" applyBorder="1" applyAlignment="1">
      <alignment horizontal="center"/>
    </xf>
    <xf numFmtId="0" fontId="35" fillId="0" borderId="20" xfId="3" applyFont="1" applyBorder="1" applyAlignment="1">
      <alignment horizontal="center"/>
    </xf>
    <xf numFmtId="0" fontId="35" fillId="0" borderId="32" xfId="3" applyFont="1" applyBorder="1" applyAlignment="1">
      <alignment horizontal="center"/>
    </xf>
    <xf numFmtId="0" fontId="35" fillId="0" borderId="33" xfId="3" applyFont="1" applyBorder="1" applyAlignment="1">
      <alignment horizontal="center"/>
    </xf>
    <xf numFmtId="0" fontId="31" fillId="0" borderId="4" xfId="3" applyFont="1" applyBorder="1" applyAlignment="1">
      <alignment horizontal="center" vertical="center"/>
    </xf>
    <xf numFmtId="0" fontId="30" fillId="0" borderId="26" xfId="3" applyFont="1" applyBorder="1" applyAlignment="1">
      <alignment horizontal="center" vertical="center"/>
    </xf>
    <xf numFmtId="0" fontId="30" fillId="0" borderId="27" xfId="3" applyFont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30" fillId="0" borderId="5" xfId="3" applyFont="1" applyBorder="1" applyAlignment="1">
      <alignment horizontal="center" vertical="center"/>
    </xf>
    <xf numFmtId="0" fontId="31" fillId="0" borderId="39" xfId="3" applyFont="1" applyBorder="1" applyAlignment="1">
      <alignment horizontal="center" vertical="center"/>
    </xf>
    <xf numFmtId="0" fontId="31" fillId="0" borderId="34" xfId="3" applyFont="1" applyBorder="1" applyAlignment="1">
      <alignment horizontal="center"/>
    </xf>
    <xf numFmtId="0" fontId="31" fillId="0" borderId="35" xfId="3" applyFont="1" applyBorder="1" applyAlignment="1">
      <alignment horizontal="center"/>
    </xf>
    <xf numFmtId="0" fontId="31" fillId="0" borderId="51" xfId="3" applyFont="1" applyBorder="1" applyAlignment="1">
      <alignment horizontal="center" vertical="center" wrapText="1"/>
    </xf>
    <xf numFmtId="0" fontId="26" fillId="0" borderId="50" xfId="3" applyFont="1" applyBorder="1"/>
    <xf numFmtId="0" fontId="26" fillId="0" borderId="32" xfId="3" applyFont="1" applyBorder="1"/>
    <xf numFmtId="0" fontId="26" fillId="0" borderId="33" xfId="3" applyFont="1" applyBorder="1"/>
    <xf numFmtId="0" fontId="26" fillId="0" borderId="23" xfId="3" applyFont="1" applyBorder="1"/>
    <xf numFmtId="0" fontId="26" fillId="0" borderId="21" xfId="3" applyFont="1" applyBorder="1"/>
    <xf numFmtId="0" fontId="31" fillId="0" borderId="50" xfId="3" applyFont="1" applyBorder="1" applyAlignment="1">
      <alignment horizontal="center" vertical="center" wrapText="1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  <xf numFmtId="0" fontId="31" fillId="0" borderId="23" xfId="3" applyFont="1" applyBorder="1" applyAlignment="1">
      <alignment horizontal="center" vertical="center" wrapText="1"/>
    </xf>
    <xf numFmtId="0" fontId="31" fillId="0" borderId="21" xfId="3" applyFont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/>
    </xf>
    <xf numFmtId="0" fontId="31" fillId="0" borderId="23" xfId="3" applyFont="1" applyBorder="1" applyAlignment="1">
      <alignment horizontal="center" vertical="center"/>
    </xf>
    <xf numFmtId="0" fontId="31" fillId="0" borderId="21" xfId="3" applyFont="1" applyBorder="1" applyAlignment="1">
      <alignment horizontal="center" vertical="center"/>
    </xf>
    <xf numFmtId="0" fontId="31" fillId="0" borderId="36" xfId="3" applyFont="1" applyBorder="1" applyAlignment="1">
      <alignment horizontal="center" vertical="center"/>
    </xf>
    <xf numFmtId="0" fontId="31" fillId="0" borderId="7" xfId="3" applyFont="1" applyBorder="1" applyAlignment="1">
      <alignment horizontal="center" vertical="center"/>
    </xf>
    <xf numFmtId="0" fontId="31" fillId="0" borderId="17" xfId="3" applyFont="1" applyBorder="1" applyAlignment="1">
      <alignment horizontal="center" vertical="center"/>
    </xf>
    <xf numFmtId="0" fontId="26" fillId="0" borderId="34" xfId="3" applyFont="1" applyBorder="1" applyAlignment="1">
      <alignment horizontal="center"/>
    </xf>
    <xf numFmtId="0" fontId="26" fillId="0" borderId="35" xfId="3" applyFont="1" applyBorder="1" applyAlignment="1">
      <alignment horizontal="center"/>
    </xf>
    <xf numFmtId="0" fontId="26" fillId="0" borderId="36" xfId="3" applyFont="1" applyBorder="1" applyAlignment="1">
      <alignment horizontal="center"/>
    </xf>
    <xf numFmtId="0" fontId="26" fillId="0" borderId="6" xfId="3" applyFont="1" applyBorder="1" applyAlignment="1">
      <alignment horizontal="center"/>
    </xf>
    <xf numFmtId="0" fontId="26" fillId="0" borderId="7" xfId="3" applyFont="1" applyBorder="1" applyAlignment="1">
      <alignment horizontal="center"/>
    </xf>
    <xf numFmtId="0" fontId="26" fillId="0" borderId="8" xfId="3" applyFont="1" applyBorder="1" applyAlignment="1">
      <alignment horizontal="center"/>
    </xf>
    <xf numFmtId="0" fontId="26" fillId="0" borderId="9" xfId="3" applyFont="1" applyBorder="1" applyAlignment="1">
      <alignment horizontal="center"/>
    </xf>
    <xf numFmtId="0" fontId="26" fillId="0" borderId="10" xfId="3" applyFont="1" applyBorder="1" applyAlignment="1">
      <alignment horizontal="center"/>
    </xf>
    <xf numFmtId="0" fontId="31" fillId="0" borderId="25" xfId="3" applyFont="1" applyBorder="1" applyAlignment="1">
      <alignment horizontal="center" vertical="center"/>
    </xf>
    <xf numFmtId="0" fontId="31" fillId="0" borderId="0" xfId="3" applyFont="1" applyAlignment="1">
      <alignment horizontal="center"/>
    </xf>
    <xf numFmtId="0" fontId="28" fillId="0" borderId="34" xfId="3" applyFont="1" applyBorder="1" applyAlignment="1">
      <alignment horizontal="left" vertical="top"/>
    </xf>
    <xf numFmtId="0" fontId="28" fillId="0" borderId="35" xfId="3" applyFont="1" applyBorder="1" applyAlignment="1">
      <alignment horizontal="left" vertical="top"/>
    </xf>
    <xf numFmtId="0" fontId="28" fillId="0" borderId="36" xfId="3" applyFont="1" applyBorder="1" applyAlignment="1">
      <alignment horizontal="left" vertical="top"/>
    </xf>
    <xf numFmtId="0" fontId="28" fillId="0" borderId="6" xfId="3" applyFont="1" applyBorder="1" applyAlignment="1">
      <alignment horizontal="left" vertical="top"/>
    </xf>
    <xf numFmtId="0" fontId="28" fillId="0" borderId="0" xfId="3" applyFont="1" applyAlignment="1">
      <alignment horizontal="left" vertical="top"/>
    </xf>
    <xf numFmtId="0" fontId="28" fillId="0" borderId="7" xfId="3" applyFont="1" applyBorder="1" applyAlignment="1">
      <alignment horizontal="left" vertical="top"/>
    </xf>
    <xf numFmtId="0" fontId="28" fillId="0" borderId="8" xfId="3" applyFont="1" applyBorder="1" applyAlignment="1">
      <alignment horizontal="left" vertical="top"/>
    </xf>
    <xf numFmtId="0" fontId="28" fillId="0" borderId="9" xfId="3" applyFont="1" applyBorder="1" applyAlignment="1">
      <alignment horizontal="left" vertical="top"/>
    </xf>
    <xf numFmtId="0" fontId="28" fillId="0" borderId="10" xfId="3" applyFont="1" applyBorder="1" applyAlignment="1">
      <alignment horizontal="left" vertical="top"/>
    </xf>
    <xf numFmtId="0" fontId="3" fillId="0" borderId="34" xfId="3" applyFont="1" applyBorder="1" applyAlignment="1">
      <alignment horizontal="center" vertical="center"/>
    </xf>
    <xf numFmtId="0" fontId="3" fillId="0" borderId="35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0" fillId="0" borderId="61" xfId="3" applyFont="1" applyBorder="1" applyAlignment="1">
      <alignment horizontal="center" vertical="center"/>
    </xf>
    <xf numFmtId="0" fontId="29" fillId="0" borderId="34" xfId="3" applyFont="1" applyBorder="1" applyAlignment="1">
      <alignment horizontal="left" vertical="center"/>
    </xf>
    <xf numFmtId="0" fontId="29" fillId="0" borderId="35" xfId="3" applyFont="1" applyBorder="1" applyAlignment="1">
      <alignment horizontal="left" vertical="center"/>
    </xf>
    <xf numFmtId="0" fontId="29" fillId="0" borderId="36" xfId="3" applyFont="1" applyBorder="1" applyAlignment="1">
      <alignment horizontal="left" vertical="center"/>
    </xf>
    <xf numFmtId="0" fontId="29" fillId="0" borderId="6" xfId="3" applyFont="1" applyBorder="1" applyAlignment="1">
      <alignment horizontal="left" vertical="center"/>
    </xf>
    <xf numFmtId="0" fontId="29" fillId="0" borderId="0" xfId="3" applyFont="1" applyAlignment="1">
      <alignment horizontal="left" vertical="center"/>
    </xf>
    <xf numFmtId="0" fontId="29" fillId="0" borderId="7" xfId="3" applyFont="1" applyBorder="1" applyAlignment="1">
      <alignment horizontal="left" vertical="center"/>
    </xf>
    <xf numFmtId="0" fontId="29" fillId="0" borderId="8" xfId="3" applyFont="1" applyBorder="1" applyAlignment="1">
      <alignment horizontal="left" vertical="center"/>
    </xf>
    <xf numFmtId="0" fontId="29" fillId="0" borderId="9" xfId="3" applyFont="1" applyBorder="1" applyAlignment="1">
      <alignment horizontal="left" vertical="center"/>
    </xf>
    <xf numFmtId="0" fontId="29" fillId="0" borderId="10" xfId="3" applyFont="1" applyBorder="1" applyAlignment="1">
      <alignment horizontal="left" vertical="center"/>
    </xf>
    <xf numFmtId="0" fontId="21" fillId="0" borderId="56" xfId="3" applyFont="1" applyBorder="1" applyAlignment="1">
      <alignment horizontal="left" vertical="center"/>
    </xf>
    <xf numFmtId="0" fontId="21" fillId="0" borderId="57" xfId="3" applyFont="1" applyBorder="1" applyAlignment="1">
      <alignment horizontal="left" vertical="center"/>
    </xf>
    <xf numFmtId="0" fontId="21" fillId="0" borderId="58" xfId="3" applyFont="1" applyBorder="1" applyAlignment="1">
      <alignment horizontal="left" vertical="center"/>
    </xf>
    <xf numFmtId="0" fontId="21" fillId="0" borderId="59" xfId="3" applyFont="1" applyBorder="1" applyAlignment="1">
      <alignment horizontal="left" vertical="center"/>
    </xf>
    <xf numFmtId="14" fontId="21" fillId="0" borderId="58" xfId="3" applyNumberFormat="1" applyFont="1" applyBorder="1" applyAlignment="1">
      <alignment horizontal="left" vertical="center"/>
    </xf>
    <xf numFmtId="14" fontId="21" fillId="0" borderId="59" xfId="3" applyNumberFormat="1" applyFont="1" applyBorder="1" applyAlignment="1">
      <alignment horizontal="left" vertical="center"/>
    </xf>
    <xf numFmtId="14" fontId="21" fillId="0" borderId="60" xfId="3" applyNumberFormat="1" applyFont="1" applyBorder="1" applyAlignment="1">
      <alignment horizontal="left" vertical="center"/>
    </xf>
    <xf numFmtId="0" fontId="28" fillId="0" borderId="34" xfId="3" applyFont="1" applyBorder="1" applyAlignment="1">
      <alignment horizontal="left" vertical="center"/>
    </xf>
    <xf numFmtId="0" fontId="28" fillId="0" borderId="36" xfId="3" applyFont="1" applyBorder="1" applyAlignment="1">
      <alignment horizontal="left" vertical="center"/>
    </xf>
    <xf numFmtId="0" fontId="28" fillId="0" borderId="8" xfId="3" applyFont="1" applyBorder="1" applyAlignment="1">
      <alignment horizontal="left" vertical="center"/>
    </xf>
    <xf numFmtId="0" fontId="28" fillId="0" borderId="10" xfId="3" applyFont="1" applyBorder="1" applyAlignment="1">
      <alignment horizontal="left" vertical="center"/>
    </xf>
    <xf numFmtId="0" fontId="11" fillId="0" borderId="13" xfId="3" applyFont="1" applyBorder="1" applyAlignment="1">
      <alignment horizontal="left" vertical="center"/>
    </xf>
    <xf numFmtId="0" fontId="11" fillId="0" borderId="20" xfId="3" applyFont="1" applyBorder="1" applyAlignment="1">
      <alignment horizontal="left" vertical="center"/>
    </xf>
    <xf numFmtId="0" fontId="11" fillId="0" borderId="33" xfId="3" applyFont="1" applyBorder="1" applyAlignment="1">
      <alignment horizontal="left" vertical="center"/>
    </xf>
    <xf numFmtId="0" fontId="11" fillId="0" borderId="5" xfId="3" applyFont="1" applyBorder="1" applyAlignment="1">
      <alignment horizontal="left" vertical="center"/>
    </xf>
    <xf numFmtId="0" fontId="11" fillId="0" borderId="46" xfId="3" applyFont="1" applyBorder="1" applyAlignment="1">
      <alignment horizontal="left" vertical="center"/>
    </xf>
    <xf numFmtId="0" fontId="2" fillId="0" borderId="11" xfId="3" applyFont="1" applyBorder="1" applyAlignment="1">
      <alignment horizontal="left"/>
    </xf>
    <xf numFmtId="0" fontId="2" fillId="0" borderId="19" xfId="3" applyFont="1" applyBorder="1" applyAlignment="1">
      <alignment horizontal="left"/>
    </xf>
    <xf numFmtId="0" fontId="2" fillId="0" borderId="18" xfId="3" applyFont="1" applyBorder="1" applyAlignment="1">
      <alignment horizontal="left"/>
    </xf>
    <xf numFmtId="0" fontId="11" fillId="0" borderId="12" xfId="3" applyFont="1" applyBorder="1" applyAlignment="1">
      <alignment horizontal="left" vertical="center"/>
    </xf>
    <xf numFmtId="0" fontId="11" fillId="0" borderId="15" xfId="3" applyFont="1" applyBorder="1" applyAlignment="1">
      <alignment horizontal="left" vertical="center"/>
    </xf>
    <xf numFmtId="0" fontId="11" fillId="0" borderId="21" xfId="3" applyFont="1" applyBorder="1" applyAlignment="1">
      <alignment horizontal="left" vertical="center"/>
    </xf>
    <xf numFmtId="0" fontId="11" fillId="0" borderId="22" xfId="3" applyFont="1" applyBorder="1" applyAlignment="1">
      <alignment horizontal="left" vertical="center"/>
    </xf>
    <xf numFmtId="0" fontId="11" fillId="0" borderId="23" xfId="3" applyFont="1" applyBorder="1" applyAlignment="1">
      <alignment horizontal="left" vertical="center"/>
    </xf>
    <xf numFmtId="0" fontId="11" fillId="0" borderId="16" xfId="3" applyFont="1" applyBorder="1" applyAlignment="1">
      <alignment horizontal="left" vertical="center"/>
    </xf>
    <xf numFmtId="0" fontId="11" fillId="0" borderId="6" xfId="3" applyFont="1" applyBorder="1" applyAlignment="1">
      <alignment horizontal="left" vertical="center"/>
    </xf>
    <xf numFmtId="0" fontId="11" fillId="0" borderId="32" xfId="3" applyFont="1" applyBorder="1" applyAlignment="1">
      <alignment horizontal="left" vertical="center"/>
    </xf>
    <xf numFmtId="0" fontId="11" fillId="0" borderId="19" xfId="3" applyFont="1" applyBorder="1" applyAlignment="1">
      <alignment horizontal="left"/>
    </xf>
    <xf numFmtId="0" fontId="5" fillId="0" borderId="6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5" fillId="0" borderId="16" xfId="3" applyFont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</cellXfs>
  <cellStyles count="6">
    <cellStyle name="Lien hypertexte" xfId="5" builtinId="8"/>
    <cellStyle name="Monétaire 2" xfId="4" xr:uid="{00000000-0005-0000-0000-000001000000}"/>
    <cellStyle name="Normal" xfId="0" builtinId="0"/>
    <cellStyle name="Normal 2" xfId="1" xr:uid="{00000000-0005-0000-0000-000003000000}"/>
    <cellStyle name="Normal 2 2" xfId="3" xr:uid="{00000000-0005-0000-0000-000004000000}"/>
    <cellStyle name="Normal 3" xfId="2" xr:uid="{00000000-0005-0000-0000-000005000000}"/>
  </cellStyles>
  <dxfs count="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CC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sv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jpg"/><Relationship Id="rId2" Type="http://schemas.openxmlformats.org/officeDocument/2006/relationships/image" Target="../media/image8.png"/><Relationship Id="rId1" Type="http://schemas.openxmlformats.org/officeDocument/2006/relationships/image" Target="../media/image21.jpe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11.png"/><Relationship Id="rId5" Type="http://schemas.openxmlformats.org/officeDocument/2006/relationships/image" Target="../media/image9.png"/><Relationship Id="rId4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13" Type="http://schemas.openxmlformats.org/officeDocument/2006/relationships/image" Target="../media/image41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12" Type="http://schemas.openxmlformats.org/officeDocument/2006/relationships/image" Target="../media/image40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11" Type="http://schemas.openxmlformats.org/officeDocument/2006/relationships/image" Target="../media/image39.png"/><Relationship Id="rId5" Type="http://schemas.openxmlformats.org/officeDocument/2006/relationships/image" Target="../media/image34.png"/><Relationship Id="rId15" Type="http://schemas.openxmlformats.org/officeDocument/2006/relationships/image" Target="../media/image43.png"/><Relationship Id="rId10" Type="http://schemas.openxmlformats.org/officeDocument/2006/relationships/image" Target="../media/image29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Relationship Id="rId14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107127</xdr:colOff>
      <xdr:row>6</xdr:row>
      <xdr:rowOff>38099</xdr:rowOff>
    </xdr:from>
    <xdr:to>
      <xdr:col>15</xdr:col>
      <xdr:colOff>1571594</xdr:colOff>
      <xdr:row>12</xdr:row>
      <xdr:rowOff>92869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55652" y="1362074"/>
          <a:ext cx="7112792" cy="119777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ysClr val="windowText" lastClr="000000"/>
              </a:solidFill>
            </a:rPr>
            <a:t>Description 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28574</xdr:colOff>
      <xdr:row>7</xdr:row>
      <xdr:rowOff>9524</xdr:rowOff>
    </xdr:from>
    <xdr:to>
      <xdr:col>17</xdr:col>
      <xdr:colOff>2423271</xdr:colOff>
      <xdr:row>54</xdr:row>
      <xdr:rowOff>295275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592545" y="1480296"/>
          <a:ext cx="7675469" cy="106792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 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MEASURES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CONFORMITY &amp; QUALITY :</a:t>
          </a:r>
        </a:p>
        <a:p>
          <a:endParaRPr lang="fr-FR" sz="1400" b="1" u="sng" baseline="0">
            <a:solidFill>
              <a:sysClr val="windowText" lastClr="000000"/>
            </a:solidFill>
          </a:endParaRPr>
        </a:p>
        <a:p>
          <a:r>
            <a:rPr lang="fr-FR" sz="1400" b="0" u="none" baseline="0">
              <a:solidFill>
                <a:sysClr val="windowText" lastClr="000000"/>
              </a:solidFill>
            </a:rPr>
            <a:t>- </a:t>
          </a:r>
          <a:endParaRPr lang="fr-FR" sz="1400" b="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131990</xdr:colOff>
      <xdr:row>57</xdr:row>
      <xdr:rowOff>103415</xdr:rowOff>
    </xdr:from>
    <xdr:to>
      <xdr:col>18</xdr:col>
      <xdr:colOff>55790</xdr:colOff>
      <xdr:row>60</xdr:row>
      <xdr:rowOff>42184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056665" y="12390665"/>
          <a:ext cx="6848475" cy="662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taille </a:t>
          </a:r>
          <a:r>
            <a:rPr lang="fr-FR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fr-F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de nous renvoyer notre SMS</a:t>
          </a: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S and send us back our SMS. </a:t>
          </a:r>
        </a:p>
      </xdr:txBody>
    </xdr:sp>
    <xdr:clientData/>
  </xdr:twoCellAnchor>
  <xdr:twoCellAnchor>
    <xdr:from>
      <xdr:col>18</xdr:col>
      <xdr:colOff>19050</xdr:colOff>
      <xdr:row>7</xdr:row>
      <xdr:rowOff>20782</xdr:rowOff>
    </xdr:from>
    <xdr:to>
      <xdr:col>25</xdr:col>
      <xdr:colOff>1628775</xdr:colOff>
      <xdr:row>54</xdr:row>
      <xdr:rowOff>304800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868400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9526</xdr:colOff>
      <xdr:row>7</xdr:row>
      <xdr:rowOff>9525</xdr:rowOff>
    </xdr:from>
    <xdr:to>
      <xdr:col>33</xdr:col>
      <xdr:colOff>1657350</xdr:colOff>
      <xdr:row>54</xdr:row>
      <xdr:rowOff>295276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1116926" y="1466850"/>
          <a:ext cx="6915149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138546</xdr:colOff>
      <xdr:row>60</xdr:row>
      <xdr:rowOff>65560</xdr:rowOff>
    </xdr:from>
    <xdr:to>
      <xdr:col>18</xdr:col>
      <xdr:colOff>62346</xdr:colOff>
      <xdr:row>61</xdr:row>
      <xdr:rowOff>359227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7063221" y="13076710"/>
          <a:ext cx="6848475" cy="7222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36 et de nous renvoyer notre SMS.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CT in size 36 and send us back our SMS. </a:t>
          </a:r>
        </a:p>
      </xdr:txBody>
    </xdr:sp>
    <xdr:clientData/>
  </xdr:twoCellAnchor>
  <xdr:oneCellAnchor>
    <xdr:from>
      <xdr:col>13</xdr:col>
      <xdr:colOff>733479</xdr:colOff>
      <xdr:row>65</xdr:row>
      <xdr:rowOff>44758</xdr:rowOff>
    </xdr:from>
    <xdr:ext cx="667563" cy="548956"/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56" b="10856"/>
        <a:stretch/>
      </xdr:blipFill>
      <xdr:spPr>
        <a:xfrm>
          <a:off x="9629829" y="15199033"/>
          <a:ext cx="667563" cy="548956"/>
        </a:xfrm>
        <a:prstGeom prst="rect">
          <a:avLst/>
        </a:prstGeom>
      </xdr:spPr>
    </xdr:pic>
    <xdr:clientData/>
  </xdr:oneCellAnchor>
  <xdr:oneCellAnchor>
    <xdr:from>
      <xdr:col>15</xdr:col>
      <xdr:colOff>103910</xdr:colOff>
      <xdr:row>65</xdr:row>
      <xdr:rowOff>62572</xdr:rowOff>
    </xdr:from>
    <xdr:ext cx="566854" cy="562114"/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85" t="-2" b="-2601"/>
        <a:stretch/>
      </xdr:blipFill>
      <xdr:spPr>
        <a:xfrm>
          <a:off x="10543310" y="15216847"/>
          <a:ext cx="566854" cy="562114"/>
        </a:xfrm>
        <a:prstGeom prst="rect">
          <a:avLst/>
        </a:prstGeom>
      </xdr:spPr>
    </xdr:pic>
    <xdr:clientData/>
  </xdr:oneCellAnchor>
  <xdr:twoCellAnchor>
    <xdr:from>
      <xdr:col>18</xdr:col>
      <xdr:colOff>384034</xdr:colOff>
      <xdr:row>57</xdr:row>
      <xdr:rowOff>70860</xdr:rowOff>
    </xdr:from>
    <xdr:to>
      <xdr:col>24</xdr:col>
      <xdr:colOff>676757</xdr:colOff>
      <xdr:row>65</xdr:row>
      <xdr:rowOff>174744</xdr:rowOff>
    </xdr:to>
    <xdr:grpSp>
      <xdr:nvGrpSpPr>
        <xdr:cNvPr id="12" name="Group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15755003" y="12381923"/>
          <a:ext cx="5055223" cy="2985196"/>
          <a:chOff x="15211684" y="15962254"/>
          <a:chExt cx="5198964" cy="2960543"/>
        </a:xfrm>
      </xdr:grpSpPr>
      <xdr:pic>
        <xdr:nvPicPr>
          <xdr:cNvPr id="13" name="Imag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14" name="Image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15" name="Imag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81776" y="16414396"/>
            <a:ext cx="328483" cy="319749"/>
          </a:xfrm>
          <a:prstGeom prst="rect">
            <a:avLst/>
          </a:prstGeom>
        </xdr:spPr>
      </xdr:pic>
      <xdr:pic>
        <xdr:nvPicPr>
          <xdr:cNvPr id="16" name="Image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17" name="Imag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68497" y="16763384"/>
            <a:ext cx="328483" cy="319749"/>
          </a:xfrm>
          <a:prstGeom prst="rect">
            <a:avLst/>
          </a:prstGeom>
        </xdr:spPr>
      </xdr:pic>
      <xdr:pic>
        <xdr:nvPicPr>
          <xdr:cNvPr id="18" name="Imag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19" name="Imag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20" name="Image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21" name="Image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1937" y="17461857"/>
            <a:ext cx="328483" cy="319749"/>
          </a:xfrm>
          <a:prstGeom prst="rect">
            <a:avLst/>
          </a:prstGeom>
        </xdr:spPr>
      </xdr:pic>
      <xdr:pic>
        <xdr:nvPicPr>
          <xdr:cNvPr id="22" name="Image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23" name="Image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24" name="Imag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  <xdr:pic>
        <xdr:nvPicPr>
          <xdr:cNvPr id="25" name="Image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38753" y="18198112"/>
            <a:ext cx="328483" cy="319749"/>
          </a:xfrm>
          <a:prstGeom prst="rect">
            <a:avLst/>
          </a:prstGeom>
        </xdr:spPr>
      </xdr:pic>
      <xdr:pic>
        <xdr:nvPicPr>
          <xdr:cNvPr id="26" name="Image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7287" y="18533964"/>
            <a:ext cx="380382" cy="307049"/>
          </a:xfrm>
          <a:prstGeom prst="rect">
            <a:avLst/>
          </a:prstGeom>
        </xdr:spPr>
      </xdr:pic>
      <xdr:pic>
        <xdr:nvPicPr>
          <xdr:cNvPr id="27" name="Image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3428" y="18537985"/>
            <a:ext cx="328483" cy="319749"/>
          </a:xfrm>
          <a:prstGeom prst="rect">
            <a:avLst/>
          </a:prstGeom>
        </xdr:spPr>
      </xdr:pic>
    </xdr:grpSp>
    <xdr:clientData/>
  </xdr:twoCellAnchor>
  <xdr:twoCellAnchor editAs="oneCell">
    <xdr:from>
      <xdr:col>45</xdr:col>
      <xdr:colOff>257175</xdr:colOff>
      <xdr:row>28</xdr:row>
      <xdr:rowOff>161925</xdr:rowOff>
    </xdr:from>
    <xdr:to>
      <xdr:col>45</xdr:col>
      <xdr:colOff>533400</xdr:colOff>
      <xdr:row>30</xdr:row>
      <xdr:rowOff>53340</xdr:rowOff>
    </xdr:to>
    <xdr:pic>
      <xdr:nvPicPr>
        <xdr:cNvPr id="30" name="Graphique 29" descr="Case cochée avec un remplissage uni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7518975" y="5610225"/>
          <a:ext cx="276225" cy="276225"/>
        </a:xfrm>
        <a:prstGeom prst="rect">
          <a:avLst/>
        </a:prstGeom>
      </xdr:spPr>
    </xdr:pic>
    <xdr:clientData/>
  </xdr:twoCellAnchor>
  <xdr:twoCellAnchor editAs="oneCell">
    <xdr:from>
      <xdr:col>82</xdr:col>
      <xdr:colOff>238126</xdr:colOff>
      <xdr:row>28</xdr:row>
      <xdr:rowOff>152400</xdr:rowOff>
    </xdr:from>
    <xdr:to>
      <xdr:col>82</xdr:col>
      <xdr:colOff>533400</xdr:colOff>
      <xdr:row>30</xdr:row>
      <xdr:rowOff>57149</xdr:rowOff>
    </xdr:to>
    <xdr:pic>
      <xdr:nvPicPr>
        <xdr:cNvPr id="31" name="Graphique 30" descr="Case à cocher barrée avec un remplissage uni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7998976" y="5600700"/>
          <a:ext cx="295274" cy="295274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65</xdr:row>
      <xdr:rowOff>19051</xdr:rowOff>
    </xdr:from>
    <xdr:to>
      <xdr:col>13</xdr:col>
      <xdr:colOff>571499</xdr:colOff>
      <xdr:row>67</xdr:row>
      <xdr:rowOff>173122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77075" y="15173326"/>
          <a:ext cx="2390775" cy="997986"/>
        </a:xfrm>
        <a:prstGeom prst="rect">
          <a:avLst/>
        </a:prstGeom>
      </xdr:spPr>
    </xdr:pic>
    <xdr:clientData/>
  </xdr:twoCellAnchor>
  <xdr:twoCellAnchor>
    <xdr:from>
      <xdr:col>18</xdr:col>
      <xdr:colOff>28575</xdr:colOff>
      <xdr:row>7</xdr:row>
      <xdr:rowOff>9524</xdr:rowOff>
    </xdr:from>
    <xdr:to>
      <xdr:col>25</xdr:col>
      <xdr:colOff>2101103</xdr:colOff>
      <xdr:row>54</xdr:row>
      <xdr:rowOff>295275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15268575" y="1480296"/>
          <a:ext cx="7703484" cy="106792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LABELS</a:t>
          </a:r>
          <a:r>
            <a:rPr lang="fr-FR" sz="1400" b="1" u="sng" baseline="0">
              <a:solidFill>
                <a:sysClr val="windowText" lastClr="000000"/>
              </a:solidFill>
            </a:rPr>
            <a:t> REMINDER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212396</xdr:colOff>
      <xdr:row>10</xdr:row>
      <xdr:rowOff>10348</xdr:rowOff>
    </xdr:from>
    <xdr:to>
      <xdr:col>25</xdr:col>
      <xdr:colOff>1150391</xdr:colOff>
      <xdr:row>25</xdr:row>
      <xdr:rowOff>135710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/>
      </xdr:nvGrpSpPr>
      <xdr:grpSpPr>
        <a:xfrm>
          <a:off x="17107365" y="2046317"/>
          <a:ext cx="5057557" cy="2970956"/>
          <a:chOff x="15211684" y="15962254"/>
          <a:chExt cx="5198964" cy="2960543"/>
        </a:xfrm>
      </xdr:grpSpPr>
      <xdr:pic>
        <xdr:nvPicPr>
          <xdr:cNvPr id="35" name="Image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36" name="Image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37" name="Image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81776" y="16414396"/>
            <a:ext cx="328483" cy="319749"/>
          </a:xfrm>
          <a:prstGeom prst="rect">
            <a:avLst/>
          </a:prstGeom>
        </xdr:spPr>
      </xdr:pic>
      <xdr:pic>
        <xdr:nvPicPr>
          <xdr:cNvPr id="38" name="Image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39" name="Image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68497" y="16763384"/>
            <a:ext cx="328483" cy="319749"/>
          </a:xfrm>
          <a:prstGeom prst="rect">
            <a:avLst/>
          </a:prstGeom>
        </xdr:spPr>
      </xdr:pic>
      <xdr:pic>
        <xdr:nvPicPr>
          <xdr:cNvPr id="40" name="Image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41" name="Imag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42" name="Image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43" name="Image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1937" y="17461857"/>
            <a:ext cx="328483" cy="319749"/>
          </a:xfrm>
          <a:prstGeom prst="rect">
            <a:avLst/>
          </a:prstGeom>
        </xdr:spPr>
      </xdr:pic>
      <xdr:pic>
        <xdr:nvPicPr>
          <xdr:cNvPr id="44" name="Imag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45" name="Image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46" name="Image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  <xdr:pic>
        <xdr:nvPicPr>
          <xdr:cNvPr id="47" name="Image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38753" y="18198112"/>
            <a:ext cx="328483" cy="319749"/>
          </a:xfrm>
          <a:prstGeom prst="rect">
            <a:avLst/>
          </a:prstGeom>
        </xdr:spPr>
      </xdr:pic>
      <xdr:pic>
        <xdr:nvPicPr>
          <xdr:cNvPr id="48" name="Image 47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7287" y="18533964"/>
            <a:ext cx="380382" cy="307049"/>
          </a:xfrm>
          <a:prstGeom prst="rect">
            <a:avLst/>
          </a:prstGeom>
        </xdr:spPr>
      </xdr:pic>
      <xdr:pic>
        <xdr:nvPicPr>
          <xdr:cNvPr id="49" name="Imag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3428" y="18537985"/>
            <a:ext cx="328483" cy="319749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28573</xdr:colOff>
      <xdr:row>7</xdr:row>
      <xdr:rowOff>9524</xdr:rowOff>
    </xdr:from>
    <xdr:to>
      <xdr:col>33</xdr:col>
      <xdr:colOff>2488405</xdr:colOff>
      <xdr:row>54</xdr:row>
      <xdr:rowOff>295275</xdr:rowOff>
    </xdr:to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3162417" y="1473993"/>
          <a:ext cx="7758113" cy="10477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MEASURES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CONFORMITY &amp; QUALITY :</a:t>
          </a:r>
        </a:p>
        <a:p>
          <a:endParaRPr lang="fr-FR" sz="1400" b="1" u="sng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19050</xdr:colOff>
      <xdr:row>7</xdr:row>
      <xdr:rowOff>20782</xdr:rowOff>
    </xdr:from>
    <xdr:to>
      <xdr:col>41</xdr:col>
      <xdr:colOff>1628775</xdr:colOff>
      <xdr:row>54</xdr:row>
      <xdr:rowOff>304800</xdr:rowOff>
    </xdr:to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28051125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28575</xdr:colOff>
      <xdr:row>7</xdr:row>
      <xdr:rowOff>9524</xdr:rowOff>
    </xdr:from>
    <xdr:to>
      <xdr:col>41</xdr:col>
      <xdr:colOff>2107406</xdr:colOff>
      <xdr:row>54</xdr:row>
      <xdr:rowOff>295275</xdr:rowOff>
    </xdr:to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30627638" y="1473993"/>
          <a:ext cx="7722393" cy="10477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LABELS</a:t>
          </a:r>
          <a:r>
            <a:rPr lang="fr-FR" sz="1400" b="1" u="sng" baseline="0">
              <a:solidFill>
                <a:sysClr val="windowText" lastClr="000000"/>
              </a:solidFill>
            </a:rPr>
            <a:t>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603903</xdr:colOff>
      <xdr:row>10</xdr:row>
      <xdr:rowOff>20854</xdr:rowOff>
    </xdr:from>
    <xdr:to>
      <xdr:col>41</xdr:col>
      <xdr:colOff>785501</xdr:colOff>
      <xdr:row>25</xdr:row>
      <xdr:rowOff>140613</xdr:rowOff>
    </xdr:to>
    <xdr:grpSp>
      <xdr:nvGrpSpPr>
        <xdr:cNvPr id="53" name="Group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pSpPr/>
      </xdr:nvGrpSpPr>
      <xdr:grpSpPr>
        <a:xfrm>
          <a:off x="32286434" y="2056823"/>
          <a:ext cx="5063161" cy="2965353"/>
          <a:chOff x="15211684" y="15962254"/>
          <a:chExt cx="5198964" cy="2960543"/>
        </a:xfrm>
      </xdr:grpSpPr>
      <xdr:pic>
        <xdr:nvPicPr>
          <xdr:cNvPr id="54" name="Image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55" name="Imag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57" name="Image 56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59" name="Image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61" name="Image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63" name="Imag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65" name="Image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</xdr:grpSp>
    <xdr:clientData/>
  </xdr:twoCellAnchor>
  <xdr:twoCellAnchor>
    <xdr:from>
      <xdr:col>42</xdr:col>
      <xdr:colOff>9526</xdr:colOff>
      <xdr:row>7</xdr:row>
      <xdr:rowOff>9525</xdr:rowOff>
    </xdr:from>
    <xdr:to>
      <xdr:col>49</xdr:col>
      <xdr:colOff>1657350</xdr:colOff>
      <xdr:row>54</xdr:row>
      <xdr:rowOff>295276</xdr:rowOff>
    </xdr:to>
    <xdr:sp macro="" textlink="">
      <xdr:nvSpPr>
        <xdr:cNvPr id="69" name="ZoneText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35299651" y="1466850"/>
          <a:ext cx="6915149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28575</xdr:colOff>
      <xdr:row>7</xdr:row>
      <xdr:rowOff>9524</xdr:rowOff>
    </xdr:from>
    <xdr:to>
      <xdr:col>49</xdr:col>
      <xdr:colOff>1657350</xdr:colOff>
      <xdr:row>54</xdr:row>
      <xdr:rowOff>295275</xdr:rowOff>
    </xdr:to>
    <xdr:sp macro="" textlink="">
      <xdr:nvSpPr>
        <xdr:cNvPr id="70" name="ZoneText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35318700" y="1466849"/>
          <a:ext cx="6896100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MEASURES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CONFORMITY :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aseline="0">
              <a:solidFill>
                <a:sysClr val="windowText" lastClr="000000"/>
              </a:solidFill>
            </a:rPr>
            <a:t>- </a:t>
          </a:r>
        </a:p>
        <a:p>
          <a:endParaRPr lang="fr-FR" sz="1400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QUALITY :</a:t>
          </a:r>
          <a:endParaRPr lang="fr-FR" sz="14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19050</xdr:colOff>
      <xdr:row>7</xdr:row>
      <xdr:rowOff>20782</xdr:rowOff>
    </xdr:from>
    <xdr:to>
      <xdr:col>57</xdr:col>
      <xdr:colOff>1628775</xdr:colOff>
      <xdr:row>54</xdr:row>
      <xdr:rowOff>304800</xdr:rowOff>
    </xdr:to>
    <xdr:sp macro="" textlink="">
      <xdr:nvSpPr>
        <xdr:cNvPr id="71" name="ZoneText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42233850" y="1478107"/>
          <a:ext cx="7239000" cy="10466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u="sng">
              <a:solidFill>
                <a:sysClr val="windowText" lastClr="000000"/>
              </a:solidFill>
            </a:rPr>
            <a:t>COMMENTS:</a:t>
          </a:r>
        </a:p>
        <a:p>
          <a:endParaRPr lang="fr-FR" sz="800">
            <a:solidFill>
              <a:sysClr val="windowText" lastClr="000000"/>
            </a:solidFill>
          </a:endParaRPr>
        </a:p>
        <a:p>
          <a:r>
            <a:rPr lang="fr-FR" sz="1400">
              <a:solidFill>
                <a:sysClr val="windowText" lastClr="000000"/>
              </a:solidFill>
            </a:rPr>
            <a:t>-</a:t>
          </a:r>
          <a:r>
            <a:rPr lang="fr-FR" sz="1400" baseline="0">
              <a:solidFill>
                <a:sysClr val="windowText" lastClr="000000"/>
              </a:solidFill>
            </a:rPr>
            <a:t> Fitting </a:t>
          </a:r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28575</xdr:colOff>
      <xdr:row>7</xdr:row>
      <xdr:rowOff>9524</xdr:rowOff>
    </xdr:from>
    <xdr:to>
      <xdr:col>57</xdr:col>
      <xdr:colOff>1657350</xdr:colOff>
      <xdr:row>54</xdr:row>
      <xdr:rowOff>295275</xdr:rowOff>
    </xdr:to>
    <xdr:sp macro="" textlink="">
      <xdr:nvSpPr>
        <xdr:cNvPr id="72" name="ZoneText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42243375" y="1466849"/>
          <a:ext cx="7229475" cy="10467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400" u="sng">
            <a:solidFill>
              <a:sysClr val="windowText" lastClr="000000"/>
            </a:solidFill>
          </a:endParaRPr>
        </a:p>
        <a:p>
          <a:r>
            <a:rPr lang="fr-FR" sz="1400" b="1" u="sng">
              <a:solidFill>
                <a:sysClr val="windowText" lastClr="000000"/>
              </a:solidFill>
            </a:rPr>
            <a:t>LABELS</a:t>
          </a:r>
          <a:r>
            <a:rPr lang="fr-FR" sz="1400" b="1" u="sng" baseline="0">
              <a:solidFill>
                <a:sysClr val="windowText" lastClr="000000"/>
              </a:solidFill>
            </a:rPr>
            <a:t>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r>
            <a:rPr lang="fr-FR" sz="1400" b="1" u="sng" baseline="0">
              <a:solidFill>
                <a:sysClr val="windowText" lastClr="000000"/>
              </a:solidFill>
            </a:rPr>
            <a:t>CONCLUSION :</a:t>
          </a:r>
        </a:p>
        <a:p>
          <a:endParaRPr lang="fr-FR" sz="1400" u="none" baseline="0">
            <a:solidFill>
              <a:sysClr val="windowText" lastClr="000000"/>
            </a:solidFill>
          </a:endParaRPr>
        </a:p>
        <a:p>
          <a:endParaRPr lang="fr-FR" sz="1400" u="none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  <a:p>
          <a:endParaRPr lang="fr-FR" sz="14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282434</xdr:colOff>
      <xdr:row>10</xdr:row>
      <xdr:rowOff>80385</xdr:rowOff>
    </xdr:from>
    <xdr:to>
      <xdr:col>57</xdr:col>
      <xdr:colOff>464032</xdr:colOff>
      <xdr:row>26</xdr:row>
      <xdr:rowOff>9644</xdr:rowOff>
    </xdr:to>
    <xdr:grpSp>
      <xdr:nvGrpSpPr>
        <xdr:cNvPr id="73" name="Group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GrpSpPr/>
      </xdr:nvGrpSpPr>
      <xdr:grpSpPr>
        <a:xfrm>
          <a:off x="46669184" y="2116354"/>
          <a:ext cx="5063161" cy="2965353"/>
          <a:chOff x="15211684" y="15962254"/>
          <a:chExt cx="5198964" cy="2960543"/>
        </a:xfrm>
      </xdr:grpSpPr>
      <xdr:pic>
        <xdr:nvPicPr>
          <xdr:cNvPr id="74" name="Image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211684" y="15962254"/>
            <a:ext cx="5198964" cy="2960543"/>
          </a:xfrm>
          <a:prstGeom prst="rect">
            <a:avLst/>
          </a:prstGeom>
        </xdr:spPr>
      </xdr:pic>
      <xdr:pic>
        <xdr:nvPicPr>
          <xdr:cNvPr id="75" name="Image 7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25635" y="16419190"/>
            <a:ext cx="380382" cy="307049"/>
          </a:xfrm>
          <a:prstGeom prst="rect">
            <a:avLst/>
          </a:prstGeom>
        </xdr:spPr>
      </xdr:pic>
      <xdr:pic>
        <xdr:nvPicPr>
          <xdr:cNvPr id="76" name="Image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81776" y="16414396"/>
            <a:ext cx="328483" cy="319749"/>
          </a:xfrm>
          <a:prstGeom prst="rect">
            <a:avLst/>
          </a:prstGeom>
        </xdr:spPr>
      </xdr:pic>
      <xdr:pic>
        <xdr:nvPicPr>
          <xdr:cNvPr id="77" name="Image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512355" y="16768184"/>
            <a:ext cx="380382" cy="307049"/>
          </a:xfrm>
          <a:prstGeom prst="rect">
            <a:avLst/>
          </a:prstGeom>
        </xdr:spPr>
      </xdr:pic>
      <xdr:pic>
        <xdr:nvPicPr>
          <xdr:cNvPr id="78" name="Image 77">
            <a:extLst>
              <a:ext uri="{FF2B5EF4-FFF2-40B4-BE49-F238E27FC236}">
                <a16:creationId xmlns:a16="http://schemas.microsoft.com/office/drawing/2014/main" id="{00000000-0008-0000-0200-00004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68497" y="16763384"/>
            <a:ext cx="328483" cy="319749"/>
          </a:xfrm>
          <a:prstGeom prst="rect">
            <a:avLst/>
          </a:prstGeom>
        </xdr:spPr>
      </xdr:pic>
      <xdr:pic>
        <xdr:nvPicPr>
          <xdr:cNvPr id="79" name="Image 78">
            <a:extLst>
              <a:ext uri="{FF2B5EF4-FFF2-40B4-BE49-F238E27FC236}">
                <a16:creationId xmlns:a16="http://schemas.microsoft.com/office/drawing/2014/main" id="{00000000-0008-0000-0200-00004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9075" y="17121828"/>
            <a:ext cx="380382" cy="307049"/>
          </a:xfrm>
          <a:prstGeom prst="rect">
            <a:avLst/>
          </a:prstGeom>
        </xdr:spPr>
      </xdr:pic>
      <xdr:pic>
        <xdr:nvPicPr>
          <xdr:cNvPr id="80" name="Image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5217" y="17117030"/>
            <a:ext cx="328483" cy="319749"/>
          </a:xfrm>
          <a:prstGeom prst="rect">
            <a:avLst/>
          </a:prstGeom>
        </xdr:spPr>
      </xdr:pic>
      <xdr:pic>
        <xdr:nvPicPr>
          <xdr:cNvPr id="81" name="Image 80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5796" y="17457836"/>
            <a:ext cx="380382" cy="307049"/>
          </a:xfrm>
          <a:prstGeom prst="rect">
            <a:avLst/>
          </a:prstGeom>
        </xdr:spPr>
      </xdr:pic>
      <xdr:pic>
        <xdr:nvPicPr>
          <xdr:cNvPr id="82" name="Image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1937" y="17461857"/>
            <a:ext cx="328483" cy="319749"/>
          </a:xfrm>
          <a:prstGeom prst="rect">
            <a:avLst/>
          </a:prstGeom>
        </xdr:spPr>
      </xdr:pic>
      <xdr:pic>
        <xdr:nvPicPr>
          <xdr:cNvPr id="83" name="Imag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8471" y="17838341"/>
            <a:ext cx="380382" cy="307049"/>
          </a:xfrm>
          <a:prstGeom prst="rect">
            <a:avLst/>
          </a:prstGeom>
        </xdr:spPr>
      </xdr:pic>
      <xdr:pic>
        <xdr:nvPicPr>
          <xdr:cNvPr id="84" name="Image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44613" y="17841858"/>
            <a:ext cx="328483" cy="319749"/>
          </a:xfrm>
          <a:prstGeom prst="rect">
            <a:avLst/>
          </a:prstGeom>
        </xdr:spPr>
      </xdr:pic>
      <xdr:pic>
        <xdr:nvPicPr>
          <xdr:cNvPr id="85" name="Imag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82612" y="18194091"/>
            <a:ext cx="380382" cy="307049"/>
          </a:xfrm>
          <a:prstGeom prst="rect">
            <a:avLst/>
          </a:prstGeom>
        </xdr:spPr>
      </xdr:pic>
      <xdr:pic>
        <xdr:nvPicPr>
          <xdr:cNvPr id="86" name="Image 85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38753" y="18198112"/>
            <a:ext cx="328483" cy="319749"/>
          </a:xfrm>
          <a:prstGeom prst="rect">
            <a:avLst/>
          </a:prstGeom>
        </xdr:spPr>
      </xdr:pic>
      <xdr:pic>
        <xdr:nvPicPr>
          <xdr:cNvPr id="87" name="Image 86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556" b="10856"/>
          <a:stretch/>
        </xdr:blipFill>
        <xdr:spPr>
          <a:xfrm>
            <a:off x="18497287" y="18533964"/>
            <a:ext cx="380382" cy="307049"/>
          </a:xfrm>
          <a:prstGeom prst="rect">
            <a:avLst/>
          </a:prstGeom>
        </xdr:spPr>
      </xdr:pic>
      <xdr:pic>
        <xdr:nvPicPr>
          <xdr:cNvPr id="88" name="Image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6585" t="-2" b="-2601"/>
          <a:stretch/>
        </xdr:blipFill>
        <xdr:spPr>
          <a:xfrm>
            <a:off x="19553428" y="18537985"/>
            <a:ext cx="328483" cy="31974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131990</xdr:colOff>
      <xdr:row>57</xdr:row>
      <xdr:rowOff>103415</xdr:rowOff>
    </xdr:from>
    <xdr:to>
      <xdr:col>10</xdr:col>
      <xdr:colOff>55790</xdr:colOff>
      <xdr:row>60</xdr:row>
      <xdr:rowOff>42184</xdr:rowOff>
    </xdr:to>
    <xdr:sp macro="" textlink="">
      <xdr:nvSpPr>
        <xdr:cNvPr id="89" name="ZoneText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131990" y="12390665"/>
          <a:ext cx="6848475" cy="662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taille </a:t>
          </a:r>
          <a:r>
            <a:rPr lang="fr-FR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fr-F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de nous renvoyer notre SMS</a:t>
          </a: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S and send us back our SMS. </a:t>
          </a:r>
        </a:p>
      </xdr:txBody>
    </xdr:sp>
    <xdr:clientData/>
  </xdr:twoCellAnchor>
  <xdr:twoCellAnchor>
    <xdr:from>
      <xdr:col>0</xdr:col>
      <xdr:colOff>138546</xdr:colOff>
      <xdr:row>60</xdr:row>
      <xdr:rowOff>65560</xdr:rowOff>
    </xdr:from>
    <xdr:to>
      <xdr:col>10</xdr:col>
      <xdr:colOff>62346</xdr:colOff>
      <xdr:row>61</xdr:row>
      <xdr:rowOff>359227</xdr:rowOff>
    </xdr:to>
    <xdr:sp macro="" textlink="">
      <xdr:nvSpPr>
        <xdr:cNvPr id="90" name="ZoneText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138546" y="13076710"/>
          <a:ext cx="6848475" cy="7222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un CT en 36 et de nous renvoyer notre SMS.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CT in size 36 and send us back our SMS. </a:t>
          </a:r>
        </a:p>
      </xdr:txBody>
    </xdr:sp>
    <xdr:clientData/>
  </xdr:twoCellAnchor>
  <xdr:oneCellAnchor>
    <xdr:from>
      <xdr:col>3</xdr:col>
      <xdr:colOff>733479</xdr:colOff>
      <xdr:row>65</xdr:row>
      <xdr:rowOff>44758</xdr:rowOff>
    </xdr:from>
    <xdr:ext cx="667563" cy="548956"/>
    <xdr:pic>
      <xdr:nvPicPr>
        <xdr:cNvPr id="91" name="Imag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56" b="10856"/>
        <a:stretch/>
      </xdr:blipFill>
      <xdr:spPr>
        <a:xfrm>
          <a:off x="2705154" y="15199033"/>
          <a:ext cx="667563" cy="548956"/>
        </a:xfrm>
        <a:prstGeom prst="rect">
          <a:avLst/>
        </a:prstGeom>
      </xdr:spPr>
    </xdr:pic>
    <xdr:clientData/>
  </xdr:oneCellAnchor>
  <xdr:oneCellAnchor>
    <xdr:from>
      <xdr:col>5</xdr:col>
      <xdr:colOff>103910</xdr:colOff>
      <xdr:row>65</xdr:row>
      <xdr:rowOff>62572</xdr:rowOff>
    </xdr:from>
    <xdr:ext cx="566854" cy="562114"/>
    <xdr:pic>
      <xdr:nvPicPr>
        <xdr:cNvPr id="92" name="Imag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585" t="-2" b="-2601"/>
        <a:stretch/>
      </xdr:blipFill>
      <xdr:spPr>
        <a:xfrm>
          <a:off x="3618635" y="15216847"/>
          <a:ext cx="566854" cy="562114"/>
        </a:xfrm>
        <a:prstGeom prst="rect">
          <a:avLst/>
        </a:prstGeom>
      </xdr:spPr>
    </xdr:pic>
    <xdr:clientData/>
  </xdr:oneCellAnchor>
  <xdr:twoCellAnchor>
    <xdr:from>
      <xdr:col>0</xdr:col>
      <xdr:colOff>123518</xdr:colOff>
      <xdr:row>62</xdr:row>
      <xdr:rowOff>212008</xdr:rowOff>
    </xdr:from>
    <xdr:to>
      <xdr:col>10</xdr:col>
      <xdr:colOff>10370</xdr:colOff>
      <xdr:row>64</xdr:row>
      <xdr:rowOff>163692</xdr:rowOff>
    </xdr:to>
    <xdr:sp macro="" textlink="">
      <xdr:nvSpPr>
        <xdr:cNvPr id="93" name="ZoneText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123518" y="14080408"/>
          <a:ext cx="6811527" cy="8089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les TDS en 36 et 40 pour validation avant production.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36 and 40 for approval. </a:t>
          </a:r>
        </a:p>
      </xdr:txBody>
    </xdr:sp>
    <xdr:clientData/>
  </xdr:twoCellAnchor>
  <xdr:oneCellAnchor>
    <xdr:from>
      <xdr:col>0</xdr:col>
      <xdr:colOff>152400</xdr:colOff>
      <xdr:row>65</xdr:row>
      <xdr:rowOff>19051</xdr:rowOff>
    </xdr:from>
    <xdr:ext cx="2405743" cy="1011593"/>
    <xdr:pic>
      <xdr:nvPicPr>
        <xdr:cNvPr id="94" name="Imag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" y="15173326"/>
          <a:ext cx="2405743" cy="1011593"/>
        </a:xfrm>
        <a:prstGeom prst="rect">
          <a:avLst/>
        </a:prstGeom>
      </xdr:spPr>
    </xdr:pic>
    <xdr:clientData/>
  </xdr:oneCellAnchor>
  <xdr:twoCellAnchor>
    <xdr:from>
      <xdr:col>34</xdr:col>
      <xdr:colOff>307817</xdr:colOff>
      <xdr:row>34</xdr:row>
      <xdr:rowOff>146208</xdr:rowOff>
    </xdr:from>
    <xdr:to>
      <xdr:col>41</xdr:col>
      <xdr:colOff>2000408</xdr:colOff>
      <xdr:row>50</xdr:row>
      <xdr:rowOff>3811</xdr:rowOff>
    </xdr:to>
    <xdr:grpSp>
      <xdr:nvGrpSpPr>
        <xdr:cNvPr id="95" name="Group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GrpSpPr/>
      </xdr:nvGrpSpPr>
      <xdr:grpSpPr>
        <a:xfrm>
          <a:off x="31228348" y="6742271"/>
          <a:ext cx="7336154" cy="3631884"/>
          <a:chOff x="22774750" y="5854065"/>
          <a:chExt cx="6688931" cy="3582250"/>
        </a:xfrm>
      </xdr:grpSpPr>
      <xdr:sp macro="" textlink="">
        <xdr:nvSpPr>
          <xdr:cNvPr id="96" name="ZoneTexte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SpPr txBox="1"/>
        </xdr:nvSpPr>
        <xdr:spPr>
          <a:xfrm>
            <a:off x="22774750" y="5854065"/>
            <a:ext cx="6688931" cy="3582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Please make sure to respect the finishings and the measurements because there are some out of the tolerance</a:t>
            </a: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Under reserve that all measurements stay in our tolerances and comments are respected.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MEASUREMENTS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Report to check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TRIMS/FABRICS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Refer to article sheet and approvals from Production department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00B05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OK Production</a:t>
            </a:r>
          </a:p>
          <a:p>
            <a:endParaRPr lang="fr-FR" sz="1100"/>
          </a:p>
        </xdr:txBody>
      </xdr:sp>
      <xdr:sp macro="" textlink="">
        <xdr:nvSpPr>
          <xdr:cNvPr id="97" name="ZoneTexte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 txBox="1"/>
        </xdr:nvSpPr>
        <xdr:spPr>
          <a:xfrm>
            <a:off x="23133879" y="8087986"/>
            <a:ext cx="5948840" cy="1275221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Shipping Samples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(in different colors) for shipment approval :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XS/S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M/L</a:t>
            </a:r>
            <a:endParaRPr kumimoji="0" lang="fr-FR" sz="13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34</xdr:col>
      <xdr:colOff>451644</xdr:colOff>
      <xdr:row>84</xdr:row>
      <xdr:rowOff>108108</xdr:rowOff>
    </xdr:from>
    <xdr:to>
      <xdr:col>41</xdr:col>
      <xdr:colOff>1295082</xdr:colOff>
      <xdr:row>106</xdr:row>
      <xdr:rowOff>477</xdr:rowOff>
    </xdr:to>
    <xdr:grpSp>
      <xdr:nvGrpSpPr>
        <xdr:cNvPr id="98" name="Group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GrpSpPr/>
      </xdr:nvGrpSpPr>
      <xdr:grpSpPr>
        <a:xfrm>
          <a:off x="31372175" y="19039046"/>
          <a:ext cx="6487001" cy="3654744"/>
          <a:chOff x="22774750" y="5854065"/>
          <a:chExt cx="6688931" cy="3582250"/>
        </a:xfrm>
      </xdr:grpSpPr>
      <xdr:sp macro="" textlink="">
        <xdr:nvSpPr>
          <xdr:cNvPr id="99" name="ZoneTexte 98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SpPr txBox="1"/>
        </xdr:nvSpPr>
        <xdr:spPr>
          <a:xfrm>
            <a:off x="22774750" y="5854065"/>
            <a:ext cx="6688931" cy="3582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Veillez à respecter les finitions et les mesures car certaines sont hors tolérances.</a:t>
            </a: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Sous réserve que toutes les mesures et les commentaires soient respectés.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MESURES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	Voir le dernier tableau de mesure en date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TISSUS/FOURNITURES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	Voir nomenclature et les validations du département production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00B05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OK Production</a:t>
            </a:r>
          </a:p>
          <a:p>
            <a:endParaRPr lang="fr-FR" sz="1100"/>
          </a:p>
        </xdr:txBody>
      </xdr:sp>
      <xdr:sp macro="" textlink="">
        <xdr:nvSpPr>
          <xdr:cNvPr id="100" name="ZoneTexte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SpPr txBox="1"/>
        </xdr:nvSpPr>
        <xdr:spPr>
          <a:xfrm>
            <a:off x="23133879" y="8087986"/>
            <a:ext cx="5948840" cy="1275221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Merci de </a:t>
            </a: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nous renvoyer notre TDS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+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Shipping Samples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(dans différents coloris) pour validation de livraison :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TS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TL</a:t>
            </a:r>
            <a:endParaRPr kumimoji="0" lang="fr-FR" sz="13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34</xdr:col>
      <xdr:colOff>451644</xdr:colOff>
      <xdr:row>65</xdr:row>
      <xdr:rowOff>103346</xdr:rowOff>
    </xdr:from>
    <xdr:to>
      <xdr:col>41</xdr:col>
      <xdr:colOff>1295082</xdr:colOff>
      <xdr:row>84</xdr:row>
      <xdr:rowOff>6192</xdr:rowOff>
    </xdr:to>
    <xdr:grpSp>
      <xdr:nvGrpSpPr>
        <xdr:cNvPr id="101" name="Group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31372175" y="15295721"/>
          <a:ext cx="6487001" cy="3641409"/>
          <a:chOff x="22774750" y="5854065"/>
          <a:chExt cx="6688931" cy="3582250"/>
        </a:xfrm>
      </xdr:grpSpPr>
      <xdr:sp macro="" textlink="">
        <xdr:nvSpPr>
          <xdr:cNvPr id="102" name="ZoneTexte 101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SpPr txBox="1"/>
        </xdr:nvSpPr>
        <xdr:spPr>
          <a:xfrm>
            <a:off x="22774750" y="5854065"/>
            <a:ext cx="6688931" cy="3582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Veillez à respecter les finitions et les mesures car certaines sont hors tolérances.</a:t>
            </a: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Sous réserve que toutes les mesures et les commentaires soient respectés.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MESURES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	Voir le dernier tableau de mesure en date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TISSUS/FOURNITURES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	Voir nomenclature et les validations du département production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00B05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OK Production</a:t>
            </a:r>
          </a:p>
          <a:p>
            <a:endParaRPr lang="fr-FR" sz="1100"/>
          </a:p>
        </xdr:txBody>
      </xdr:sp>
      <xdr:sp macro="" textlink="">
        <xdr:nvSpPr>
          <xdr:cNvPr id="103" name="ZoneTexte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 txBox="1"/>
        </xdr:nvSpPr>
        <xdr:spPr>
          <a:xfrm>
            <a:off x="23133879" y="8087986"/>
            <a:ext cx="5948840" cy="1275221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Merci de </a:t>
            </a: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nous renvoyer notre TDS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+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Shipping Samples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(dans différents coloris) pour validation de livraison :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T36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T40</a:t>
            </a:r>
            <a:endParaRPr kumimoji="0" lang="fr-FR" sz="13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27</xdr:col>
      <xdr:colOff>21590</xdr:colOff>
      <xdr:row>65</xdr:row>
      <xdr:rowOff>41592</xdr:rowOff>
    </xdr:from>
    <xdr:to>
      <xdr:col>34</xdr:col>
      <xdr:colOff>174783</xdr:colOff>
      <xdr:row>83</xdr:row>
      <xdr:rowOff>114301</xdr:rowOff>
    </xdr:to>
    <xdr:grpSp>
      <xdr:nvGrpSpPr>
        <xdr:cNvPr id="104" name="Group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GrpSpPr/>
      </xdr:nvGrpSpPr>
      <xdr:grpSpPr>
        <a:xfrm>
          <a:off x="23738840" y="15233967"/>
          <a:ext cx="7356474" cy="3644584"/>
          <a:chOff x="22774750" y="5854065"/>
          <a:chExt cx="6688931" cy="3582250"/>
        </a:xfrm>
      </xdr:grpSpPr>
      <xdr:sp macro="" textlink="">
        <xdr:nvSpPr>
          <xdr:cNvPr id="105" name="ZoneTexte 10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SpPr txBox="1"/>
        </xdr:nvSpPr>
        <xdr:spPr>
          <a:xfrm>
            <a:off x="22774750" y="5854065"/>
            <a:ext cx="6688931" cy="3582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Please make sure to respect the finishings and the measurements because there are some out of the tolerance</a:t>
            </a: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Under reserve that all measurements stay in our tolerances and comments are respected.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MEASUREMENTS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Report to check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TRIMS/FABRICS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Refer to article sheet and approvals from Production department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00B05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OK Production</a:t>
            </a:r>
          </a:p>
          <a:p>
            <a:endParaRPr lang="fr-FR" sz="1100"/>
          </a:p>
        </xdr:txBody>
      </xdr:sp>
      <xdr:sp macro="" textlink="">
        <xdr:nvSpPr>
          <xdr:cNvPr id="106" name="ZoneTexte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SpPr txBox="1"/>
        </xdr:nvSpPr>
        <xdr:spPr>
          <a:xfrm>
            <a:off x="23133879" y="8087986"/>
            <a:ext cx="5948840" cy="1275221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Please </a:t>
            </a: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send us back our PPS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+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Shipping Samples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(in different colors) for shipment approval :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T36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 x T40</a:t>
            </a:r>
            <a:endParaRPr kumimoji="0" lang="fr-FR" sz="13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27</xdr:col>
      <xdr:colOff>0</xdr:colOff>
      <xdr:row>56</xdr:row>
      <xdr:rowOff>119063</xdr:rowOff>
    </xdr:from>
    <xdr:to>
      <xdr:col>34</xdr:col>
      <xdr:colOff>149383</xdr:colOff>
      <xdr:row>64</xdr:row>
      <xdr:rowOff>33972</xdr:rowOff>
    </xdr:to>
    <xdr:grpSp>
      <xdr:nvGrpSpPr>
        <xdr:cNvPr id="107" name="Group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GrpSpPr/>
      </xdr:nvGrpSpPr>
      <xdr:grpSpPr>
        <a:xfrm>
          <a:off x="23717250" y="12263438"/>
          <a:ext cx="7352664" cy="2534284"/>
          <a:chOff x="22774750" y="5854065"/>
          <a:chExt cx="6688931" cy="3582250"/>
        </a:xfrm>
      </xdr:grpSpPr>
      <xdr:sp macro="" textlink="">
        <xdr:nvSpPr>
          <xdr:cNvPr id="108" name="ZoneTexte 107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SpPr txBox="1"/>
        </xdr:nvSpPr>
        <xdr:spPr>
          <a:xfrm>
            <a:off x="22774750" y="5854065"/>
            <a:ext cx="6688931" cy="3582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Please make sure to respect the finishings and the measurements because there are some out of the tolerance</a:t>
            </a: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MEASUREMENTS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Report to check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TRIMS/FABRICS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Refer to article sheet and approvals from Production department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Please make a new PPS in size 36 for approval</a:t>
            </a:r>
          </a:p>
          <a:p>
            <a:endParaRPr lang="fr-FR" sz="1100"/>
          </a:p>
        </xdr:txBody>
      </xdr:sp>
      <xdr:sp macro="" textlink="">
        <xdr:nvSpPr>
          <xdr:cNvPr id="109" name="ZoneTexte 108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SpPr txBox="1"/>
        </xdr:nvSpPr>
        <xdr:spPr>
          <a:xfrm>
            <a:off x="24722022" y="8626107"/>
            <a:ext cx="2814595" cy="569439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Please </a:t>
            </a: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send us back our PPS</a:t>
            </a:r>
          </a:p>
        </xdr:txBody>
      </xdr:sp>
    </xdr:grpSp>
    <xdr:clientData/>
  </xdr:twoCellAnchor>
  <xdr:twoCellAnchor>
    <xdr:from>
      <xdr:col>34</xdr:col>
      <xdr:colOff>461804</xdr:colOff>
      <xdr:row>56</xdr:row>
      <xdr:rowOff>138908</xdr:rowOff>
    </xdr:from>
    <xdr:to>
      <xdr:col>41</xdr:col>
      <xdr:colOff>1312862</xdr:colOff>
      <xdr:row>63</xdr:row>
      <xdr:rowOff>303213</xdr:rowOff>
    </xdr:to>
    <xdr:grpSp>
      <xdr:nvGrpSpPr>
        <xdr:cNvPr id="110" name="Group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GrpSpPr/>
      </xdr:nvGrpSpPr>
      <xdr:grpSpPr>
        <a:xfrm>
          <a:off x="31382335" y="12283283"/>
          <a:ext cx="6494621" cy="2355055"/>
          <a:chOff x="27721719" y="12539505"/>
          <a:chExt cx="6645433" cy="2834536"/>
        </a:xfrm>
      </xdr:grpSpPr>
      <xdr:sp macro="" textlink="">
        <xdr:nvSpPr>
          <xdr:cNvPr id="111" name="ZoneTexte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SpPr txBox="1"/>
        </xdr:nvSpPr>
        <xdr:spPr>
          <a:xfrm>
            <a:off x="27721719" y="12539505"/>
            <a:ext cx="6645433" cy="283453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- Veillez à respecter les finitions et les mesures car certaines sont hors tolérances.</a:t>
            </a: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MESURES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	Voir le dernier tableau de mesure en date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TISSUS/FOURNITURES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	Voir nomenclature et les validations du département production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fr-FR" sz="13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CONCLUSION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	</a:t>
            </a: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Veuillez réaliser un nouveau PPS en taille 36 pour validation</a:t>
            </a:r>
          </a:p>
          <a:p>
            <a:endParaRPr lang="fr-FR" sz="1100"/>
          </a:p>
        </xdr:txBody>
      </xdr:sp>
      <xdr:sp macro="" textlink="">
        <xdr:nvSpPr>
          <xdr:cNvPr id="112" name="ZoneTexte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SpPr txBox="1"/>
        </xdr:nvSpPr>
        <xdr:spPr>
          <a:xfrm>
            <a:off x="29657040" y="14665962"/>
            <a:ext cx="2790948" cy="475279"/>
          </a:xfrm>
          <a:prstGeom prst="rect">
            <a:avLst/>
          </a:prstGeom>
          <a:solidFill>
            <a:schemeClr val="lt1"/>
          </a:solidFill>
          <a:ln w="285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13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Merci de </a:t>
            </a:r>
            <a:r>
              <a:rPr kumimoji="0" lang="fr-FR" sz="1300" b="1" i="0" u="sng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nous renvoyer notre TDS</a:t>
            </a:r>
          </a:p>
        </xdr:txBody>
      </xdr:sp>
    </xdr:grpSp>
    <xdr:clientData/>
  </xdr:twoCellAnchor>
  <xdr:twoCellAnchor>
    <xdr:from>
      <xdr:col>18</xdr:col>
      <xdr:colOff>277600</xdr:colOff>
      <xdr:row>33</xdr:row>
      <xdr:rowOff>1898</xdr:rowOff>
    </xdr:from>
    <xdr:to>
      <xdr:col>25</xdr:col>
      <xdr:colOff>1820956</xdr:colOff>
      <xdr:row>37</xdr:row>
      <xdr:rowOff>37626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5573629" y="6557339"/>
          <a:ext cx="7174312" cy="820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Merci de lancer les TDS en XS/S et M/L pour validation avant production.</a:t>
          </a:r>
        </a:p>
        <a:p>
          <a:pPr algn="l" rtl="0">
            <a:defRPr sz="1000"/>
          </a:pPr>
          <a:r>
            <a:rPr lang="fr-FR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Please launch PPS in size XS/S and M/L for approval.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5</xdr:row>
      <xdr:rowOff>320040</xdr:rowOff>
    </xdr:from>
    <xdr:to>
      <xdr:col>3</xdr:col>
      <xdr:colOff>522288</xdr:colOff>
      <xdr:row>20</xdr:row>
      <xdr:rowOff>137160</xdr:rowOff>
    </xdr:to>
    <xdr:pic>
      <xdr:nvPicPr>
        <xdr:cNvPr id="52" name="Imag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1950720"/>
          <a:ext cx="3494089" cy="3268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928363</xdr:colOff>
      <xdr:row>62</xdr:row>
      <xdr:rowOff>67058</xdr:rowOff>
    </xdr:from>
    <xdr:ext cx="538417" cy="311496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366638" y="13221083"/>
          <a:ext cx="53841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 A</a:t>
          </a:r>
        </a:p>
      </xdr:txBody>
    </xdr:sp>
    <xdr:clientData/>
  </xdr:oneCellAnchor>
  <xdr:oneCellAnchor>
    <xdr:from>
      <xdr:col>3</xdr:col>
      <xdr:colOff>62894</xdr:colOff>
      <xdr:row>62</xdr:row>
      <xdr:rowOff>66741</xdr:rowOff>
    </xdr:from>
    <xdr:ext cx="813171" cy="311496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025169" y="13220766"/>
          <a:ext cx="81317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------ A</a:t>
          </a:r>
        </a:p>
      </xdr:txBody>
    </xdr:sp>
    <xdr:clientData/>
  </xdr:oneCellAnchor>
  <xdr:oneCellAnchor>
    <xdr:from>
      <xdr:col>1</xdr:col>
      <xdr:colOff>938866</xdr:colOff>
      <xdr:row>64</xdr:row>
      <xdr:rowOff>99508</xdr:rowOff>
    </xdr:from>
    <xdr:ext cx="522131" cy="311496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377141" y="13577383"/>
          <a:ext cx="5221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 - B</a:t>
          </a:r>
        </a:p>
      </xdr:txBody>
    </xdr:sp>
    <xdr:clientData/>
  </xdr:oneCellAnchor>
  <xdr:oneCellAnchor>
    <xdr:from>
      <xdr:col>3</xdr:col>
      <xdr:colOff>55431</xdr:colOff>
      <xdr:row>64</xdr:row>
      <xdr:rowOff>103721</xdr:rowOff>
    </xdr:from>
    <xdr:ext cx="796885" cy="311496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017706" y="13581596"/>
          <a:ext cx="79688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B</a:t>
          </a:r>
        </a:p>
      </xdr:txBody>
    </xdr:sp>
    <xdr:clientData/>
  </xdr:oneCellAnchor>
  <xdr:oneCellAnchor>
    <xdr:from>
      <xdr:col>3</xdr:col>
      <xdr:colOff>30617</xdr:colOff>
      <xdr:row>67</xdr:row>
      <xdr:rowOff>37513</xdr:rowOff>
    </xdr:from>
    <xdr:ext cx="823174" cy="311496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2992892" y="14001163"/>
          <a:ext cx="8231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------- C</a:t>
          </a:r>
        </a:p>
      </xdr:txBody>
    </xdr:sp>
    <xdr:clientData/>
  </xdr:oneCellAnchor>
  <xdr:oneCellAnchor>
    <xdr:from>
      <xdr:col>1</xdr:col>
      <xdr:colOff>928502</xdr:colOff>
      <xdr:row>67</xdr:row>
      <xdr:rowOff>11363</xdr:rowOff>
    </xdr:from>
    <xdr:ext cx="510845" cy="311496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2366777" y="13975013"/>
          <a:ext cx="51084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 - C</a:t>
          </a:r>
        </a:p>
      </xdr:txBody>
    </xdr:sp>
    <xdr:clientData/>
  </xdr:oneCellAnchor>
  <xdr:twoCellAnchor editAs="oneCell">
    <xdr:from>
      <xdr:col>0</xdr:col>
      <xdr:colOff>66675</xdr:colOff>
      <xdr:row>59</xdr:row>
      <xdr:rowOff>19050</xdr:rowOff>
    </xdr:from>
    <xdr:to>
      <xdr:col>1</xdr:col>
      <xdr:colOff>667270</xdr:colOff>
      <xdr:row>67</xdr:row>
      <xdr:rowOff>131845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12687300"/>
          <a:ext cx="2023630" cy="1423435"/>
        </a:xfrm>
        <a:prstGeom prst="rect">
          <a:avLst/>
        </a:prstGeom>
      </xdr:spPr>
    </xdr:pic>
    <xdr:clientData/>
  </xdr:twoCellAnchor>
  <xdr:twoCellAnchor>
    <xdr:from>
      <xdr:col>1</xdr:col>
      <xdr:colOff>726281</xdr:colOff>
      <xdr:row>59</xdr:row>
      <xdr:rowOff>47625</xdr:rowOff>
    </xdr:from>
    <xdr:to>
      <xdr:col>5</xdr:col>
      <xdr:colOff>607219</xdr:colOff>
      <xdr:row>80</xdr:row>
      <xdr:rowOff>11906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164556" y="12715875"/>
          <a:ext cx="3824288" cy="336470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761999</xdr:colOff>
      <xdr:row>59</xdr:row>
      <xdr:rowOff>119062</xdr:rowOff>
    </xdr:from>
    <xdr:to>
      <xdr:col>5</xdr:col>
      <xdr:colOff>571499</xdr:colOff>
      <xdr:row>61</xdr:row>
      <xdr:rowOff>35718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200274" y="12787312"/>
          <a:ext cx="3752850" cy="240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DESIGNATIONS</a:t>
          </a:r>
        </a:p>
      </xdr:txBody>
    </xdr:sp>
    <xdr:clientData/>
  </xdr:twoCellAnchor>
  <xdr:oneCellAnchor>
    <xdr:from>
      <xdr:col>3</xdr:col>
      <xdr:colOff>333665</xdr:colOff>
      <xdr:row>25</xdr:row>
      <xdr:rowOff>55654</xdr:rowOff>
    </xdr:from>
    <xdr:ext cx="547137" cy="311496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3295940" y="6075454"/>
          <a:ext cx="54713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 - D</a:t>
          </a:r>
        </a:p>
      </xdr:txBody>
    </xdr:sp>
    <xdr:clientData/>
  </xdr:oneCellAnchor>
  <xdr:oneCellAnchor>
    <xdr:from>
      <xdr:col>1</xdr:col>
      <xdr:colOff>938026</xdr:colOff>
      <xdr:row>71</xdr:row>
      <xdr:rowOff>139950</xdr:rowOff>
    </xdr:from>
    <xdr:ext cx="495970" cy="311496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2376301" y="14751300"/>
          <a:ext cx="4959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E - E</a:t>
          </a:r>
        </a:p>
      </xdr:txBody>
    </xdr:sp>
    <xdr:clientData/>
  </xdr:oneCellAnchor>
  <xdr:oneCellAnchor>
    <xdr:from>
      <xdr:col>1</xdr:col>
      <xdr:colOff>909451</xdr:colOff>
      <xdr:row>77</xdr:row>
      <xdr:rowOff>4219</xdr:rowOff>
    </xdr:from>
    <xdr:ext cx="549574" cy="311496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2347726" y="15587119"/>
          <a:ext cx="54957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G - G</a:t>
          </a:r>
        </a:p>
      </xdr:txBody>
    </xdr:sp>
    <xdr:clientData/>
  </xdr:oneCellAnchor>
  <xdr:oneCellAnchor>
    <xdr:from>
      <xdr:col>3</xdr:col>
      <xdr:colOff>41143</xdr:colOff>
      <xdr:row>69</xdr:row>
      <xdr:rowOff>101339</xdr:rowOff>
    </xdr:from>
    <xdr:ext cx="804516" cy="311496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3003418" y="14388839"/>
          <a:ext cx="80451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D</a:t>
          </a:r>
        </a:p>
      </xdr:txBody>
    </xdr:sp>
    <xdr:clientData/>
  </xdr:oneCellAnchor>
  <xdr:oneCellAnchor>
    <xdr:from>
      <xdr:col>3</xdr:col>
      <xdr:colOff>38761</xdr:colOff>
      <xdr:row>72</xdr:row>
      <xdr:rowOff>3708</xdr:rowOff>
    </xdr:from>
    <xdr:ext cx="753348" cy="311496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3001036" y="14776983"/>
          <a:ext cx="75334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E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E</a:t>
          </a:r>
        </a:p>
      </xdr:txBody>
    </xdr:sp>
    <xdr:clientData/>
  </xdr:oneCellAnchor>
  <xdr:oneCellAnchor>
    <xdr:from>
      <xdr:col>2</xdr:col>
      <xdr:colOff>331656</xdr:colOff>
      <xdr:row>77</xdr:row>
      <xdr:rowOff>10852</xdr:rowOff>
    </xdr:from>
    <xdr:ext cx="806952" cy="311496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2960556" y="15593752"/>
          <a:ext cx="80695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G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G</a:t>
          </a:r>
        </a:p>
      </xdr:txBody>
    </xdr:sp>
    <xdr:clientData/>
  </xdr:oneCellAnchor>
  <xdr:twoCellAnchor>
    <xdr:from>
      <xdr:col>3</xdr:col>
      <xdr:colOff>881063</xdr:colOff>
      <xdr:row>62</xdr:row>
      <xdr:rowOff>95249</xdr:rowOff>
    </xdr:from>
    <xdr:to>
      <xdr:col>4</xdr:col>
      <xdr:colOff>750094</xdr:colOff>
      <xdr:row>64</xdr:row>
      <xdr:rowOff>47625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3843338" y="13249274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Button</a:t>
          </a:r>
        </a:p>
      </xdr:txBody>
    </xdr:sp>
    <xdr:clientData/>
  </xdr:twoCellAnchor>
  <xdr:twoCellAnchor>
    <xdr:from>
      <xdr:col>3</xdr:col>
      <xdr:colOff>866776</xdr:colOff>
      <xdr:row>64</xdr:row>
      <xdr:rowOff>152399</xdr:rowOff>
    </xdr:from>
    <xdr:to>
      <xdr:col>4</xdr:col>
      <xdr:colOff>735807</xdr:colOff>
      <xdr:row>66</xdr:row>
      <xdr:rowOff>104775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3829051" y="13630274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Pintuck</a:t>
          </a:r>
        </a:p>
      </xdr:txBody>
    </xdr:sp>
    <xdr:clientData/>
  </xdr:twoCellAnchor>
  <xdr:twoCellAnchor>
    <xdr:from>
      <xdr:col>3</xdr:col>
      <xdr:colOff>852489</xdr:colOff>
      <xdr:row>67</xdr:row>
      <xdr:rowOff>66673</xdr:rowOff>
    </xdr:from>
    <xdr:to>
      <xdr:col>4</xdr:col>
      <xdr:colOff>721520</xdr:colOff>
      <xdr:row>69</xdr:row>
      <xdr:rowOff>19049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3814764" y="14030323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Fusible</a:t>
          </a:r>
        </a:p>
      </xdr:txBody>
    </xdr:sp>
    <xdr:clientData/>
  </xdr:twoCellAnchor>
  <xdr:twoCellAnchor>
    <xdr:from>
      <xdr:col>3</xdr:col>
      <xdr:colOff>862014</xdr:colOff>
      <xdr:row>69</xdr:row>
      <xdr:rowOff>135730</xdr:rowOff>
    </xdr:from>
    <xdr:to>
      <xdr:col>4</xdr:col>
      <xdr:colOff>731045</xdr:colOff>
      <xdr:row>71</xdr:row>
      <xdr:rowOff>88106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3824289" y="14423230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Overcast seam</a:t>
          </a:r>
        </a:p>
      </xdr:txBody>
    </xdr:sp>
    <xdr:clientData/>
  </xdr:twoCellAnchor>
  <xdr:twoCellAnchor>
    <xdr:from>
      <xdr:col>3</xdr:col>
      <xdr:colOff>788195</xdr:colOff>
      <xdr:row>72</xdr:row>
      <xdr:rowOff>38099</xdr:rowOff>
    </xdr:from>
    <xdr:to>
      <xdr:col>4</xdr:col>
      <xdr:colOff>657226</xdr:colOff>
      <xdr:row>73</xdr:row>
      <xdr:rowOff>157162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3750470" y="14811374"/>
          <a:ext cx="1173956" cy="280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Lace</a:t>
          </a:r>
        </a:p>
      </xdr:txBody>
    </xdr:sp>
    <xdr:clientData/>
  </xdr:twoCellAnchor>
  <xdr:twoCellAnchor>
    <xdr:from>
      <xdr:col>3</xdr:col>
      <xdr:colOff>797720</xdr:colOff>
      <xdr:row>74</xdr:row>
      <xdr:rowOff>119061</xdr:rowOff>
    </xdr:from>
    <xdr:to>
      <xdr:col>4</xdr:col>
      <xdr:colOff>666751</xdr:colOff>
      <xdr:row>76</xdr:row>
      <xdr:rowOff>71437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3759995" y="15216186"/>
          <a:ext cx="1173956" cy="276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Embroidery</a:t>
          </a:r>
        </a:p>
      </xdr:txBody>
    </xdr:sp>
    <xdr:clientData/>
  </xdr:twoCellAnchor>
  <xdr:twoCellAnchor>
    <xdr:from>
      <xdr:col>4</xdr:col>
      <xdr:colOff>881062</xdr:colOff>
      <xdr:row>63</xdr:row>
      <xdr:rowOff>47624</xdr:rowOff>
    </xdr:from>
    <xdr:to>
      <xdr:col>5</xdr:col>
      <xdr:colOff>321469</xdr:colOff>
      <xdr:row>63</xdr:row>
      <xdr:rowOff>47624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 flipH="1">
          <a:off x="5148262" y="13363574"/>
          <a:ext cx="5548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878681</xdr:colOff>
      <xdr:row>65</xdr:row>
      <xdr:rowOff>128587</xdr:rowOff>
    </xdr:from>
    <xdr:to>
      <xdr:col>5</xdr:col>
      <xdr:colOff>319088</xdr:colOff>
      <xdr:row>65</xdr:row>
      <xdr:rowOff>128587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5145881" y="13768387"/>
          <a:ext cx="5548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857250</xdr:colOff>
      <xdr:row>68</xdr:row>
      <xdr:rowOff>47623</xdr:rowOff>
    </xdr:from>
    <xdr:to>
      <xdr:col>5</xdr:col>
      <xdr:colOff>321469</xdr:colOff>
      <xdr:row>68</xdr:row>
      <xdr:rowOff>47623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/>
      </xdr:nvCxnSpPr>
      <xdr:spPr>
        <a:xfrm>
          <a:off x="5124450" y="14173198"/>
          <a:ext cx="57864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892968</xdr:colOff>
      <xdr:row>70</xdr:row>
      <xdr:rowOff>107155</xdr:rowOff>
    </xdr:from>
    <xdr:to>
      <xdr:col>5</xdr:col>
      <xdr:colOff>309563</xdr:colOff>
      <xdr:row>70</xdr:row>
      <xdr:rowOff>107155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>
          <a:off x="5160168" y="14556580"/>
          <a:ext cx="53102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15240</xdr:colOff>
      <xdr:row>40</xdr:row>
      <xdr:rowOff>129540</xdr:rowOff>
    </xdr:from>
    <xdr:to>
      <xdr:col>5</xdr:col>
      <xdr:colOff>2202180</xdr:colOff>
      <xdr:row>57</xdr:row>
      <xdr:rowOff>8544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9022080"/>
          <a:ext cx="3329940" cy="3300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1403916</xdr:colOff>
      <xdr:row>9</xdr:row>
      <xdr:rowOff>111031</xdr:rowOff>
    </xdr:from>
    <xdr:ext cx="868123" cy="311496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1403916" y="3098071"/>
          <a:ext cx="86812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A ------- A</a:t>
          </a:r>
        </a:p>
      </xdr:txBody>
    </xdr:sp>
    <xdr:clientData/>
  </xdr:oneCellAnchor>
  <xdr:oneCellAnchor>
    <xdr:from>
      <xdr:col>5</xdr:col>
      <xdr:colOff>446142</xdr:colOff>
      <xdr:row>40</xdr:row>
      <xdr:rowOff>43633</xdr:rowOff>
    </xdr:from>
    <xdr:ext cx="311496" cy="761234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 rot="5400000">
          <a:off x="5753393" y="9161042"/>
          <a:ext cx="7612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E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E</a:t>
          </a:r>
        </a:p>
      </xdr:txBody>
    </xdr:sp>
    <xdr:clientData/>
  </xdr:oneCellAnchor>
  <xdr:oneCellAnchor>
    <xdr:from>
      <xdr:col>1</xdr:col>
      <xdr:colOff>136340</xdr:colOff>
      <xdr:row>18</xdr:row>
      <xdr:rowOff>104705</xdr:rowOff>
    </xdr:from>
    <xdr:ext cx="311496" cy="749564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 rot="5400000">
          <a:off x="1355581" y="5010039"/>
          <a:ext cx="74956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D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 D</a:t>
          </a:r>
        </a:p>
      </xdr:txBody>
    </xdr:sp>
    <xdr:clientData/>
  </xdr:oneCellAnchor>
  <xdr:twoCellAnchor>
    <xdr:from>
      <xdr:col>0</xdr:col>
      <xdr:colOff>593245</xdr:colOff>
      <xdr:row>22</xdr:row>
      <xdr:rowOff>91440</xdr:rowOff>
    </xdr:from>
    <xdr:to>
      <xdr:col>1</xdr:col>
      <xdr:colOff>1212161</xdr:colOff>
      <xdr:row>35</xdr:row>
      <xdr:rowOff>99266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pSpPr/>
      </xdr:nvGrpSpPr>
      <xdr:grpSpPr>
        <a:xfrm>
          <a:off x="593245" y="5539740"/>
          <a:ext cx="2038141" cy="2484326"/>
          <a:chOff x="228776" y="5937817"/>
          <a:chExt cx="2103023" cy="2484326"/>
        </a:xfrm>
      </xdr:grpSpPr>
      <xdr:grpSp>
        <xdr:nvGrpSpPr>
          <xdr:cNvPr id="35" name="Groupe 3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GrpSpPr/>
        </xdr:nvGrpSpPr>
        <xdr:grpSpPr>
          <a:xfrm>
            <a:off x="228776" y="5937817"/>
            <a:ext cx="590824" cy="2484326"/>
            <a:chOff x="222992" y="5937817"/>
            <a:chExt cx="593399" cy="2484326"/>
          </a:xfrm>
        </xdr:grpSpPr>
        <xdr:sp macro="" textlink="">
          <xdr:nvSpPr>
            <xdr:cNvPr id="38" name="ZoneTexte 37">
              <a:extLst>
                <a:ext uri="{FF2B5EF4-FFF2-40B4-BE49-F238E27FC236}">
                  <a16:creationId xmlns:a16="http://schemas.microsoft.com/office/drawing/2014/main" id="{00000000-0008-0000-0300-000026000000}"/>
                </a:ext>
              </a:extLst>
            </xdr:cNvPr>
            <xdr:cNvSpPr txBox="1"/>
          </xdr:nvSpPr>
          <xdr:spPr>
            <a:xfrm>
              <a:off x="254224" y="5937817"/>
              <a:ext cx="506651" cy="305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fr-FR" sz="1400" b="1">
                  <a:solidFill>
                    <a:srgbClr val="FF0000"/>
                  </a:solidFill>
                </a:rPr>
                <a:t>C - C</a:t>
              </a:r>
            </a:p>
          </xdr:txBody>
        </xdr:sp>
        <xdr:pic>
          <xdr:nvPicPr>
            <xdr:cNvPr id="39" name="Image 38">
              <a:extLst>
                <a:ext uri="{FF2B5EF4-FFF2-40B4-BE49-F238E27FC236}">
                  <a16:creationId xmlns:a16="http://schemas.microsoft.com/office/drawing/2014/main" id="{00000000-0008-0000-0300-000027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2992" y="6415971"/>
              <a:ext cx="593399" cy="2006172"/>
            </a:xfrm>
            <a:prstGeom prst="rect">
              <a:avLst/>
            </a:prstGeom>
          </xdr:spPr>
        </xdr:pic>
      </xdr:grpSp>
      <xdr:cxnSp macro="">
        <xdr:nvCxnSpPr>
          <xdr:cNvPr id="36" name="Connecteur droit avec flèche 35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CxnSpPr/>
        </xdr:nvCxnSpPr>
        <xdr:spPr>
          <a:xfrm flipH="1">
            <a:off x="571579" y="7315200"/>
            <a:ext cx="828675" cy="51054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ZoneTexte 36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SpPr txBox="1"/>
        </xdr:nvSpPr>
        <xdr:spPr>
          <a:xfrm>
            <a:off x="1365964" y="7139940"/>
            <a:ext cx="965835" cy="664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100">
                <a:solidFill>
                  <a:srgbClr val="FF0000"/>
                </a:solidFill>
              </a:rPr>
              <a:t>ELASTIC</a:t>
            </a:r>
          </a:p>
          <a:p>
            <a:r>
              <a:rPr lang="fr-FR" sz="1100">
                <a:solidFill>
                  <a:srgbClr val="FF0000"/>
                </a:solidFill>
              </a:rPr>
              <a:t>1CM</a:t>
            </a:r>
          </a:p>
        </xdr:txBody>
      </xdr:sp>
    </xdr:grpSp>
    <xdr:clientData/>
  </xdr:twoCellAnchor>
  <xdr:twoCellAnchor>
    <xdr:from>
      <xdr:col>0</xdr:col>
      <xdr:colOff>1125759</xdr:colOff>
      <xdr:row>41</xdr:row>
      <xdr:rowOff>14257</xdr:rowOff>
    </xdr:from>
    <xdr:to>
      <xdr:col>1</xdr:col>
      <xdr:colOff>738566</xdr:colOff>
      <xdr:row>56</xdr:row>
      <xdr:rowOff>138256</xdr:rowOff>
    </xdr:to>
    <xdr:grpSp>
      <xdr:nvGrpSpPr>
        <xdr:cNvPr id="40" name="Group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pSpPr/>
      </xdr:nvGrpSpPr>
      <xdr:grpSpPr>
        <a:xfrm>
          <a:off x="1125759" y="9082057"/>
          <a:ext cx="1051082" cy="3124374"/>
          <a:chOff x="6323173" y="5193952"/>
          <a:chExt cx="1096802" cy="3124374"/>
        </a:xfrm>
      </xdr:grpSpPr>
      <xdr:pic>
        <xdr:nvPicPr>
          <xdr:cNvPr id="41" name="Image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323173" y="5534024"/>
            <a:ext cx="1096802" cy="2784302"/>
          </a:xfrm>
          <a:prstGeom prst="rect">
            <a:avLst/>
          </a:prstGeom>
        </xdr:spPr>
      </xdr:pic>
      <xdr:sp macro="" textlink="">
        <xdr:nvSpPr>
          <xdr:cNvPr id="42" name="ZoneTexte 41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 txBox="1"/>
        </xdr:nvSpPr>
        <xdr:spPr>
          <a:xfrm>
            <a:off x="6575760" y="5193952"/>
            <a:ext cx="527846" cy="3134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fr-FR" sz="1400" b="1">
                <a:solidFill>
                  <a:srgbClr val="FF0000"/>
                </a:solidFill>
              </a:rPr>
              <a:t>E - E</a:t>
            </a:r>
          </a:p>
        </xdr:txBody>
      </xdr:sp>
    </xdr:grpSp>
    <xdr:clientData/>
  </xdr:twoCellAnchor>
  <xdr:twoCellAnchor>
    <xdr:from>
      <xdr:col>4</xdr:col>
      <xdr:colOff>50861</xdr:colOff>
      <xdr:row>5</xdr:row>
      <xdr:rowOff>457200</xdr:rowOff>
    </xdr:from>
    <xdr:to>
      <xdr:col>5</xdr:col>
      <xdr:colOff>1617914</xdr:colOff>
      <xdr:row>12</xdr:row>
      <xdr:rowOff>164294</xdr:rowOff>
    </xdr:to>
    <xdr:grpSp>
      <xdr:nvGrpSpPr>
        <xdr:cNvPr id="43" name="Group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pSpPr/>
      </xdr:nvGrpSpPr>
      <xdr:grpSpPr>
        <a:xfrm>
          <a:off x="4318061" y="2076450"/>
          <a:ext cx="2681478" cy="1631144"/>
          <a:chOff x="2389632" y="2076160"/>
          <a:chExt cx="2702433" cy="1634954"/>
        </a:xfrm>
      </xdr:grpSpPr>
      <xdr:pic>
        <xdr:nvPicPr>
          <xdr:cNvPr id="44" name="Image 43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389632" y="2335275"/>
            <a:ext cx="2702433" cy="1375839"/>
          </a:xfrm>
          <a:prstGeom prst="rect">
            <a:avLst/>
          </a:prstGeom>
        </xdr:spPr>
      </xdr:pic>
      <xdr:sp macro="" textlink="">
        <xdr:nvSpPr>
          <xdr:cNvPr id="45" name="ZoneTexte 4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SpPr txBox="1"/>
        </xdr:nvSpPr>
        <xdr:spPr>
          <a:xfrm>
            <a:off x="2515251" y="2076160"/>
            <a:ext cx="552949" cy="27965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fr-FR" sz="1400" b="1">
                <a:solidFill>
                  <a:srgbClr val="FF0000"/>
                </a:solidFill>
              </a:rPr>
              <a:t>A - A</a:t>
            </a:r>
          </a:p>
        </xdr:txBody>
      </xdr:sp>
    </xdr:grpSp>
    <xdr:clientData/>
  </xdr:twoCellAnchor>
  <xdr:oneCellAnchor>
    <xdr:from>
      <xdr:col>0</xdr:col>
      <xdr:colOff>1173380</xdr:colOff>
      <xdr:row>5</xdr:row>
      <xdr:rowOff>315364</xdr:rowOff>
    </xdr:from>
    <xdr:ext cx="311496" cy="804516"/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>
        <a:xfrm rot="4810923">
          <a:off x="926870" y="2192554"/>
          <a:ext cx="80451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B</a:t>
          </a:r>
        </a:p>
      </xdr:txBody>
    </xdr:sp>
    <xdr:clientData/>
  </xdr:oneCellAnchor>
  <xdr:twoCellAnchor>
    <xdr:from>
      <xdr:col>6</xdr:col>
      <xdr:colOff>1572194</xdr:colOff>
      <xdr:row>15</xdr:row>
      <xdr:rowOff>185298</xdr:rowOff>
    </xdr:from>
    <xdr:to>
      <xdr:col>9</xdr:col>
      <xdr:colOff>760664</xdr:colOff>
      <xdr:row>20</xdr:row>
      <xdr:rowOff>55736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68394" y="4300098"/>
          <a:ext cx="2407920" cy="822938"/>
        </a:xfrm>
        <a:prstGeom prst="rect">
          <a:avLst/>
        </a:prstGeom>
      </xdr:spPr>
    </xdr:pic>
    <xdr:clientData/>
  </xdr:twoCellAnchor>
  <xdr:oneCellAnchor>
    <xdr:from>
      <xdr:col>0</xdr:col>
      <xdr:colOff>553535</xdr:colOff>
      <xdr:row>15</xdr:row>
      <xdr:rowOff>96181</xdr:rowOff>
    </xdr:from>
    <xdr:ext cx="311496" cy="713272"/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/>
      </xdr:nvSpPr>
      <xdr:spPr>
        <a:xfrm rot="5400000">
          <a:off x="352647" y="4427109"/>
          <a:ext cx="71327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C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 C</a:t>
          </a:r>
        </a:p>
      </xdr:txBody>
    </xdr:sp>
    <xdr:clientData/>
  </xdr:oneCellAnchor>
  <xdr:twoCellAnchor editAs="oneCell">
    <xdr:from>
      <xdr:col>3</xdr:col>
      <xdr:colOff>1040130</xdr:colOff>
      <xdr:row>26</xdr:row>
      <xdr:rowOff>3289</xdr:rowOff>
    </xdr:from>
    <xdr:to>
      <xdr:col>4</xdr:col>
      <xdr:colOff>689036</xdr:colOff>
      <xdr:row>37</xdr:row>
      <xdr:rowOff>62188</xdr:rowOff>
    </xdr:to>
    <xdr:pic>
      <xdr:nvPicPr>
        <xdr:cNvPr id="51" name="Graphique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flipH="1">
          <a:off x="4002405" y="6213589"/>
          <a:ext cx="953831" cy="2154399"/>
        </a:xfrm>
        <a:prstGeom prst="rect">
          <a:avLst/>
        </a:prstGeom>
      </xdr:spPr>
    </xdr:pic>
    <xdr:clientData/>
  </xdr:twoCellAnchor>
  <xdr:oneCellAnchor>
    <xdr:from>
      <xdr:col>4</xdr:col>
      <xdr:colOff>448158</xdr:colOff>
      <xdr:row>49</xdr:row>
      <xdr:rowOff>148964</xdr:rowOff>
    </xdr:from>
    <xdr:ext cx="779509" cy="311496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 rot="422318">
          <a:off x="4715358" y="10740764"/>
          <a:ext cx="77950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 b="1">
              <a:solidFill>
                <a:srgbClr val="FF0000"/>
              </a:solidFill>
            </a:rPr>
            <a:t>B</a:t>
          </a:r>
          <a:r>
            <a:rPr lang="fr-FR" sz="800" b="1">
              <a:solidFill>
                <a:srgbClr val="FF0000"/>
              </a:solidFill>
            </a:rPr>
            <a:t> </a:t>
          </a:r>
          <a:r>
            <a:rPr lang="fr-FR" sz="1400" b="1">
              <a:solidFill>
                <a:srgbClr val="FF0000"/>
              </a:solidFill>
            </a:rPr>
            <a:t>------ B</a:t>
          </a:r>
        </a:p>
      </xdr:txBody>
    </xdr:sp>
    <xdr:clientData/>
  </xdr:oneCellAnchor>
  <xdr:twoCellAnchor editAs="oneCell">
    <xdr:from>
      <xdr:col>3</xdr:col>
      <xdr:colOff>1226820</xdr:colOff>
      <xdr:row>16</xdr:row>
      <xdr:rowOff>19050</xdr:rowOff>
    </xdr:from>
    <xdr:to>
      <xdr:col>5</xdr:col>
      <xdr:colOff>1494829</xdr:colOff>
      <xdr:row>23</xdr:row>
      <xdr:rowOff>184785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48093342-1E54-498C-A7B3-3CD3CF1D1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095" y="4324350"/>
          <a:ext cx="2687359" cy="1499235"/>
        </a:xfrm>
        <a:prstGeom prst="rect">
          <a:avLst/>
        </a:prstGeom>
      </xdr:spPr>
    </xdr:pic>
    <xdr:clientData/>
  </xdr:twoCellAnchor>
  <xdr:twoCellAnchor>
    <xdr:from>
      <xdr:col>3</xdr:col>
      <xdr:colOff>1271754</xdr:colOff>
      <xdr:row>15</xdr:row>
      <xdr:rowOff>9523</xdr:rowOff>
    </xdr:from>
    <xdr:to>
      <xdr:col>4</xdr:col>
      <xdr:colOff>525679</xdr:colOff>
      <xdr:row>16</xdr:row>
      <xdr:rowOff>94867</xdr:rowOff>
    </xdr:to>
    <xdr:sp macro="" textlink="">
      <xdr:nvSpPr>
        <xdr:cNvPr id="49" name="ZoneText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/>
      </xdr:nvSpPr>
      <xdr:spPr>
        <a:xfrm>
          <a:off x="4234029" y="4124323"/>
          <a:ext cx="558850" cy="275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400" b="1">
              <a:solidFill>
                <a:srgbClr val="FF0000"/>
              </a:solidFill>
            </a:rPr>
            <a:t>B - B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599440</xdr:colOff>
      <xdr:row>21</xdr:row>
      <xdr:rowOff>979170</xdr:rowOff>
    </xdr:from>
    <xdr:ext cx="829310" cy="24003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0360660" y="12279630"/>
          <a:ext cx="829310" cy="24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600" b="1">
              <a:solidFill>
                <a:srgbClr val="FF0000"/>
              </a:solidFill>
            </a:rPr>
            <a:t>36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599440</xdr:colOff>
      <xdr:row>21</xdr:row>
      <xdr:rowOff>979170</xdr:rowOff>
    </xdr:from>
    <xdr:ext cx="829310" cy="24003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0360660" y="12279630"/>
          <a:ext cx="829310" cy="24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600" b="1">
              <a:solidFill>
                <a:srgbClr val="FF0000"/>
              </a:solidFill>
            </a:rPr>
            <a:t>S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193963</xdr:colOff>
      <xdr:row>9</xdr:row>
      <xdr:rowOff>263235</xdr:rowOff>
    </xdr:from>
    <xdr:to>
      <xdr:col>4</xdr:col>
      <xdr:colOff>1981200</xdr:colOff>
      <xdr:row>20</xdr:row>
      <xdr:rowOff>740337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63" y="2715490"/>
          <a:ext cx="7148946" cy="6656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448599</xdr:colOff>
      <xdr:row>21</xdr:row>
      <xdr:rowOff>897602</xdr:rowOff>
    </xdr:from>
    <xdr:ext cx="829310" cy="24003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216054" y="12161347"/>
          <a:ext cx="829310" cy="24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600" b="1">
              <a:solidFill>
                <a:srgbClr val="FF0000"/>
              </a:solidFill>
            </a:rPr>
            <a:t>M/L</a:t>
          </a:r>
        </a:p>
      </xdr:txBody>
    </xdr:sp>
    <xdr:clientData/>
  </xdr:oneCellAnchor>
  <xdr:twoCellAnchor editAs="oneCell">
    <xdr:from>
      <xdr:col>4</xdr:col>
      <xdr:colOff>2293621</xdr:colOff>
      <xdr:row>9</xdr:row>
      <xdr:rowOff>225827</xdr:rowOff>
    </xdr:from>
    <xdr:to>
      <xdr:col>8</xdr:col>
      <xdr:colOff>604675</xdr:colOff>
      <xdr:row>20</xdr:row>
      <xdr:rowOff>845127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5330" y="2678082"/>
          <a:ext cx="6859309" cy="6798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2529147</xdr:colOff>
      <xdr:row>9</xdr:row>
      <xdr:rowOff>540327</xdr:rowOff>
    </xdr:from>
    <xdr:to>
      <xdr:col>21</xdr:col>
      <xdr:colOff>12392</xdr:colOff>
      <xdr:row>20</xdr:row>
      <xdr:rowOff>1159627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8238" y="2992582"/>
          <a:ext cx="6859309" cy="6798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1579418</xdr:colOff>
      <xdr:row>19</xdr:row>
      <xdr:rowOff>166253</xdr:rowOff>
    </xdr:from>
    <xdr:to>
      <xdr:col>2</xdr:col>
      <xdr:colOff>1607127</xdr:colOff>
      <xdr:row>20</xdr:row>
      <xdr:rowOff>665018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54582" y="5915889"/>
          <a:ext cx="27709" cy="3380511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1645495</xdr:colOff>
      <xdr:row>19</xdr:row>
      <xdr:rowOff>1396709</xdr:rowOff>
    </xdr:from>
    <xdr:ext cx="451149" cy="405432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3820659" y="7146345"/>
          <a:ext cx="45114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 b="1">
              <a:solidFill>
                <a:srgbClr val="FF0000"/>
              </a:solidFill>
            </a:rPr>
            <a:t>P1</a:t>
          </a:r>
        </a:p>
      </xdr:txBody>
    </xdr:sp>
    <xdr:clientData/>
  </xdr:oneCellAnchor>
  <xdr:twoCellAnchor editAs="oneCell">
    <xdr:from>
      <xdr:col>9</xdr:col>
      <xdr:colOff>263235</xdr:colOff>
      <xdr:row>9</xdr:row>
      <xdr:rowOff>512617</xdr:rowOff>
    </xdr:from>
    <xdr:to>
      <xdr:col>13</xdr:col>
      <xdr:colOff>2285999</xdr:colOff>
      <xdr:row>20</xdr:row>
      <xdr:rowOff>989719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26144" y="2964872"/>
          <a:ext cx="7148946" cy="6656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515633</xdr:colOff>
      <xdr:row>4</xdr:row>
      <xdr:rowOff>1859123</xdr:rowOff>
    </xdr:from>
    <xdr:to>
      <xdr:col>11</xdr:col>
      <xdr:colOff>603885</xdr:colOff>
      <xdr:row>4</xdr:row>
      <xdr:rowOff>2040233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13460108" y="4726148"/>
          <a:ext cx="88252" cy="181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515633</xdr:colOff>
      <xdr:row>4</xdr:row>
      <xdr:rowOff>1859123</xdr:rowOff>
    </xdr:from>
    <xdr:to>
      <xdr:col>11</xdr:col>
      <xdr:colOff>603885</xdr:colOff>
      <xdr:row>4</xdr:row>
      <xdr:rowOff>2030701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3460108" y="4726148"/>
          <a:ext cx="88252" cy="171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454414</xdr:colOff>
      <xdr:row>4</xdr:row>
      <xdr:rowOff>1859123</xdr:rowOff>
    </xdr:from>
    <xdr:to>
      <xdr:col>5</xdr:col>
      <xdr:colOff>552472</xdr:colOff>
      <xdr:row>4</xdr:row>
      <xdr:rowOff>2068830</xdr:rowOff>
    </xdr:to>
    <xdr:sp macro="" textlink="">
      <xdr:nvSpPr>
        <xdr:cNvPr id="4" name="Text Box 75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8826889" y="4726148"/>
          <a:ext cx="98058" cy="2097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336745</xdr:colOff>
      <xdr:row>4</xdr:row>
      <xdr:rowOff>1859123</xdr:rowOff>
    </xdr:from>
    <xdr:to>
      <xdr:col>5</xdr:col>
      <xdr:colOff>601502</xdr:colOff>
      <xdr:row>4</xdr:row>
      <xdr:rowOff>1859123</xdr:rowOff>
    </xdr:to>
    <xdr:sp macro="" textlink="">
      <xdr:nvSpPr>
        <xdr:cNvPr id="5" name="Rectangle 90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8709220" y="4726148"/>
          <a:ext cx="264757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307327</xdr:colOff>
      <xdr:row>4</xdr:row>
      <xdr:rowOff>1859123</xdr:rowOff>
    </xdr:from>
    <xdr:to>
      <xdr:col>5</xdr:col>
      <xdr:colOff>405385</xdr:colOff>
      <xdr:row>4</xdr:row>
      <xdr:rowOff>2059298</xdr:rowOff>
    </xdr:to>
    <xdr:sp macro="" textlink="">
      <xdr:nvSpPr>
        <xdr:cNvPr id="6" name="Text Box 10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8679802" y="4726148"/>
          <a:ext cx="98058" cy="2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403804</xdr:colOff>
      <xdr:row>3</xdr:row>
      <xdr:rowOff>1581093</xdr:rowOff>
    </xdr:from>
    <xdr:to>
      <xdr:col>12</xdr:col>
      <xdr:colOff>45573</xdr:colOff>
      <xdr:row>3</xdr:row>
      <xdr:rowOff>1791360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13348279" y="2190693"/>
          <a:ext cx="403769" cy="210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0</xdr:colOff>
      <xdr:row>3</xdr:row>
      <xdr:rowOff>2245106</xdr:rowOff>
    </xdr:from>
    <xdr:to>
      <xdr:col>0</xdr:col>
      <xdr:colOff>0</xdr:colOff>
      <xdr:row>4</xdr:row>
      <xdr:rowOff>205890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0" y="2854706"/>
          <a:ext cx="0" cy="218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FF0000"/>
              </a:solidFill>
            </a:rPr>
            <a:t>N 1</a:t>
          </a:r>
        </a:p>
      </xdr:txBody>
    </xdr:sp>
    <xdr:clientData/>
  </xdr:twoCellAnchor>
  <xdr:twoCellAnchor editAs="oneCell">
    <xdr:from>
      <xdr:col>0</xdr:col>
      <xdr:colOff>510541</xdr:colOff>
      <xdr:row>3</xdr:row>
      <xdr:rowOff>66676</xdr:rowOff>
    </xdr:from>
    <xdr:to>
      <xdr:col>1</xdr:col>
      <xdr:colOff>5427346</xdr:colOff>
      <xdr:row>4</xdr:row>
      <xdr:rowOff>1522096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52" b="1573"/>
        <a:stretch/>
      </xdr:blipFill>
      <xdr:spPr>
        <a:xfrm>
          <a:off x="510541" y="657226"/>
          <a:ext cx="5492115" cy="3712845"/>
        </a:xfrm>
        <a:prstGeom prst="rect">
          <a:avLst/>
        </a:prstGeom>
      </xdr:spPr>
    </xdr:pic>
    <xdr:clientData/>
  </xdr:twoCellAnchor>
  <xdr:twoCellAnchor editAs="oneCell">
    <xdr:from>
      <xdr:col>0</xdr:col>
      <xdr:colOff>87630</xdr:colOff>
      <xdr:row>4</xdr:row>
      <xdr:rowOff>1997357</xdr:rowOff>
    </xdr:from>
    <xdr:to>
      <xdr:col>2</xdr:col>
      <xdr:colOff>782955</xdr:colOff>
      <xdr:row>4</xdr:row>
      <xdr:rowOff>3522680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" y="4845332"/>
          <a:ext cx="6718935" cy="15348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18</xdr:row>
      <xdr:rowOff>13853</xdr:rowOff>
    </xdr:from>
    <xdr:to>
      <xdr:col>3</xdr:col>
      <xdr:colOff>0</xdr:colOff>
      <xdr:row>21</xdr:row>
      <xdr:rowOff>3809</xdr:rowOff>
    </xdr:to>
    <xdr:sp macro="" textlink="">
      <xdr:nvSpPr>
        <xdr:cNvPr id="2" name="Line 179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 flipH="1">
          <a:off x="19050" y="3614303"/>
          <a:ext cx="3543300" cy="5709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510310</xdr:colOff>
      <xdr:row>33</xdr:row>
      <xdr:rowOff>0</xdr:rowOff>
    </xdr:from>
    <xdr:to>
      <xdr:col>12</xdr:col>
      <xdr:colOff>34638</xdr:colOff>
      <xdr:row>36</xdr:row>
      <xdr:rowOff>154133</xdr:rowOff>
    </xdr:to>
    <xdr:pic>
      <xdr:nvPicPr>
        <xdr:cNvPr id="3" name="Picture 1" descr="CROCHET NOIR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0635" y="6210300"/>
          <a:ext cx="1048328" cy="66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857250</xdr:colOff>
      <xdr:row>39</xdr:row>
      <xdr:rowOff>0</xdr:rowOff>
    </xdr:from>
    <xdr:to>
      <xdr:col>14</xdr:col>
      <xdr:colOff>97723</xdr:colOff>
      <xdr:row>46</xdr:row>
      <xdr:rowOff>72594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2225" y="7239000"/>
          <a:ext cx="3176203" cy="1301319"/>
        </a:xfrm>
        <a:prstGeom prst="rect">
          <a:avLst/>
        </a:prstGeom>
      </xdr:spPr>
    </xdr:pic>
    <xdr:clientData/>
  </xdr:twoCellAnchor>
  <xdr:twoCellAnchor editAs="oneCell">
    <xdr:from>
      <xdr:col>0</xdr:col>
      <xdr:colOff>167474</xdr:colOff>
      <xdr:row>0</xdr:row>
      <xdr:rowOff>155677</xdr:rowOff>
    </xdr:from>
    <xdr:to>
      <xdr:col>1</xdr:col>
      <xdr:colOff>438151</xdr:colOff>
      <xdr:row>1</xdr:row>
      <xdr:rowOff>172245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74" y="155677"/>
          <a:ext cx="1385102" cy="22992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6</xdr:row>
          <xdr:rowOff>9525</xdr:rowOff>
        </xdr:from>
        <xdr:to>
          <xdr:col>8</xdr:col>
          <xdr:colOff>57150</xdr:colOff>
          <xdr:row>7</xdr:row>
          <xdr:rowOff>38100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7</xdr:row>
          <xdr:rowOff>0</xdr:rowOff>
        </xdr:from>
        <xdr:to>
          <xdr:col>8</xdr:col>
          <xdr:colOff>57150</xdr:colOff>
          <xdr:row>8</xdr:row>
          <xdr:rowOff>28575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8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</xdr:row>
          <xdr:rowOff>9525</xdr:rowOff>
        </xdr:from>
        <xdr:to>
          <xdr:col>8</xdr:col>
          <xdr:colOff>57150</xdr:colOff>
          <xdr:row>9</xdr:row>
          <xdr:rowOff>38100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8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10</xdr:row>
          <xdr:rowOff>104775</xdr:rowOff>
        </xdr:from>
        <xdr:to>
          <xdr:col>8</xdr:col>
          <xdr:colOff>57150</xdr:colOff>
          <xdr:row>11</xdr:row>
          <xdr:rowOff>133350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8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12</xdr:row>
          <xdr:rowOff>85725</xdr:rowOff>
        </xdr:from>
        <xdr:to>
          <xdr:col>8</xdr:col>
          <xdr:colOff>57150</xdr:colOff>
          <xdr:row>13</xdr:row>
          <xdr:rowOff>104775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8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581025</xdr:colOff>
          <xdr:row>14</xdr:row>
          <xdr:rowOff>247650</xdr:rowOff>
        </xdr:from>
        <xdr:to>
          <xdr:col>8</xdr:col>
          <xdr:colOff>504825</xdr:colOff>
          <xdr:row>16</xdr:row>
          <xdr:rowOff>28575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8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15</xdr:row>
          <xdr:rowOff>161925</xdr:rowOff>
        </xdr:from>
        <xdr:to>
          <xdr:col>8</xdr:col>
          <xdr:colOff>57150</xdr:colOff>
          <xdr:row>17</xdr:row>
          <xdr:rowOff>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8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16</xdr:row>
          <xdr:rowOff>171450</xdr:rowOff>
        </xdr:from>
        <xdr:to>
          <xdr:col>8</xdr:col>
          <xdr:colOff>104775</xdr:colOff>
          <xdr:row>18</xdr:row>
          <xdr:rowOff>9525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8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352425</xdr:colOff>
      <xdr:row>57</xdr:row>
      <xdr:rowOff>161925</xdr:rowOff>
    </xdr:from>
    <xdr:to>
      <xdr:col>6</xdr:col>
      <xdr:colOff>779536</xdr:colOff>
      <xdr:row>60</xdr:row>
      <xdr:rowOff>38155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4343400" y="10534650"/>
          <a:ext cx="2800741" cy="39058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104777</xdr:colOff>
      <xdr:row>61</xdr:row>
      <xdr:rowOff>83992</xdr:rowOff>
    </xdr:from>
    <xdr:to>
      <xdr:col>6</xdr:col>
      <xdr:colOff>381001</xdr:colOff>
      <xdr:row>67</xdr:row>
      <xdr:rowOff>38329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5410202" y="11142517"/>
          <a:ext cx="1323974" cy="983037"/>
        </a:xfrm>
        <a:prstGeom prst="rect">
          <a:avLst/>
        </a:prstGeom>
      </xdr:spPr>
    </xdr:pic>
    <xdr:clientData/>
  </xdr:twoCellAnchor>
  <xdr:twoCellAnchor editAs="oneCell">
    <xdr:from>
      <xdr:col>12</xdr:col>
      <xdr:colOff>391886</xdr:colOff>
      <xdr:row>50</xdr:row>
      <xdr:rowOff>99332</xdr:rowOff>
    </xdr:from>
    <xdr:to>
      <xdr:col>15</xdr:col>
      <xdr:colOff>363311</xdr:colOff>
      <xdr:row>55</xdr:row>
      <xdr:rowOff>131717</xdr:rowOff>
    </xdr:to>
    <xdr:pic>
      <xdr:nvPicPr>
        <xdr:cNvPr id="8" name="object 10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flipV="1">
          <a:off x="12136211" y="9271907"/>
          <a:ext cx="2257425" cy="9048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46</xdr:row>
      <xdr:rowOff>142875</xdr:rowOff>
    </xdr:from>
    <xdr:to>
      <xdr:col>15</xdr:col>
      <xdr:colOff>745236</xdr:colOff>
      <xdr:row>50</xdr:row>
      <xdr:rowOff>18669</xdr:rowOff>
    </xdr:to>
    <xdr:pic>
      <xdr:nvPicPr>
        <xdr:cNvPr id="9" name="object 10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125325" y="8610600"/>
          <a:ext cx="2650236" cy="595884"/>
        </a:xfrm>
        <a:prstGeom prst="rect">
          <a:avLst/>
        </a:prstGeom>
      </xdr:spPr>
    </xdr:pic>
    <xdr:clientData/>
  </xdr:twoCellAnchor>
  <xdr:twoCellAnchor editAs="oneCell">
    <xdr:from>
      <xdr:col>12</xdr:col>
      <xdr:colOff>395968</xdr:colOff>
      <xdr:row>56</xdr:row>
      <xdr:rowOff>117022</xdr:rowOff>
    </xdr:from>
    <xdr:to>
      <xdr:col>15</xdr:col>
      <xdr:colOff>16589</xdr:colOff>
      <xdr:row>61</xdr:row>
      <xdr:rowOff>111464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40293" y="10318297"/>
          <a:ext cx="1897096" cy="851692"/>
        </a:xfrm>
        <a:prstGeom prst="rect">
          <a:avLst/>
        </a:prstGeom>
      </xdr:spPr>
    </xdr:pic>
    <xdr:clientData/>
  </xdr:twoCellAnchor>
  <xdr:twoCellAnchor editAs="oneCell">
    <xdr:from>
      <xdr:col>15</xdr:col>
      <xdr:colOff>425903</xdr:colOff>
      <xdr:row>50</xdr:row>
      <xdr:rowOff>89807</xdr:rowOff>
    </xdr:from>
    <xdr:to>
      <xdr:col>16</xdr:col>
      <xdr:colOff>587957</xdr:colOff>
      <xdr:row>62</xdr:row>
      <xdr:rowOff>55804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6228" y="9262382"/>
          <a:ext cx="924054" cy="20386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26</xdr:row>
      <xdr:rowOff>13853</xdr:rowOff>
    </xdr:from>
    <xdr:to>
      <xdr:col>3</xdr:col>
      <xdr:colOff>13855</xdr:colOff>
      <xdr:row>30</xdr:row>
      <xdr:rowOff>3809</xdr:rowOff>
    </xdr:to>
    <xdr:sp macro="" textlink="">
      <xdr:nvSpPr>
        <xdr:cNvPr id="3" name="Line 17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 bwMode="auto">
        <a:xfrm flipH="1">
          <a:off x="19050" y="6071753"/>
          <a:ext cx="3480955" cy="7329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217715</xdr:colOff>
      <xdr:row>96</xdr:row>
      <xdr:rowOff>149679</xdr:rowOff>
    </xdr:from>
    <xdr:to>
      <xdr:col>10</xdr:col>
      <xdr:colOff>1234580</xdr:colOff>
      <xdr:row>100</xdr:row>
      <xdr:rowOff>1361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6723290" y="18294804"/>
          <a:ext cx="3731490" cy="527957"/>
        </a:xfrm>
        <a:prstGeom prst="rect">
          <a:avLst/>
        </a:prstGeom>
      </xdr:spPr>
    </xdr:pic>
    <xdr:clientData/>
  </xdr:twoCellAnchor>
  <xdr:twoCellAnchor editAs="oneCell">
    <xdr:from>
      <xdr:col>7</xdr:col>
      <xdr:colOff>353785</xdr:colOff>
      <xdr:row>103</xdr:row>
      <xdr:rowOff>40821</xdr:rowOff>
    </xdr:from>
    <xdr:to>
      <xdr:col>8</xdr:col>
      <xdr:colOff>668653</xdr:colOff>
      <xdr:row>109</xdr:row>
      <xdr:rowOff>601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EFEDEA"/>
            </a:clrFrom>
            <a:clrTo>
              <a:srgbClr val="EFEDEA">
                <a:alpha val="0"/>
              </a:srgbClr>
            </a:clrTo>
          </a:clrChange>
        </a:blip>
        <a:stretch>
          <a:fillRect/>
        </a:stretch>
      </xdr:blipFill>
      <xdr:spPr>
        <a:xfrm>
          <a:off x="6859360" y="19395621"/>
          <a:ext cx="1322613" cy="988480"/>
        </a:xfrm>
        <a:prstGeom prst="rect">
          <a:avLst/>
        </a:prstGeom>
      </xdr:spPr>
    </xdr:pic>
    <xdr:clientData/>
  </xdr:twoCellAnchor>
  <xdr:twoCellAnchor>
    <xdr:from>
      <xdr:col>7</xdr:col>
      <xdr:colOff>40823</xdr:colOff>
      <xdr:row>88</xdr:row>
      <xdr:rowOff>68036</xdr:rowOff>
    </xdr:from>
    <xdr:to>
      <xdr:col>8</xdr:col>
      <xdr:colOff>1002607</xdr:colOff>
      <xdr:row>91</xdr:row>
      <xdr:rowOff>40821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6398" y="16851086"/>
          <a:ext cx="1980959" cy="487135"/>
        </a:xfrm>
        <a:prstGeom prst="rect">
          <a:avLst/>
        </a:prstGeom>
      </xdr:spPr>
    </xdr:pic>
    <xdr:clientData/>
  </xdr:twoCellAnchor>
  <xdr:twoCellAnchor editAs="oneCell">
    <xdr:from>
      <xdr:col>0</xdr:col>
      <xdr:colOff>302895</xdr:colOff>
      <xdr:row>0</xdr:row>
      <xdr:rowOff>121920</xdr:rowOff>
    </xdr:from>
    <xdr:to>
      <xdr:col>1</xdr:col>
      <xdr:colOff>569762</xdr:colOff>
      <xdr:row>1</xdr:row>
      <xdr:rowOff>142298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121920"/>
          <a:ext cx="1409867" cy="248978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5</xdr:row>
      <xdr:rowOff>85725</xdr:rowOff>
    </xdr:from>
    <xdr:to>
      <xdr:col>4</xdr:col>
      <xdr:colOff>122239</xdr:colOff>
      <xdr:row>18</xdr:row>
      <xdr:rowOff>150495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0CD10C5-B8A3-44CD-B108-591C0E60A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447800"/>
          <a:ext cx="3408364" cy="3265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558166</xdr:colOff>
      <xdr:row>6</xdr:row>
      <xdr:rowOff>0</xdr:rowOff>
    </xdr:from>
    <xdr:to>
      <xdr:col>8</xdr:col>
      <xdr:colOff>440056</xdr:colOff>
      <xdr:row>19</xdr:row>
      <xdr:rowOff>117129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29C3FC02-9022-4038-A044-25D112298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1" y="1571625"/>
          <a:ext cx="3301365" cy="3288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38596</xdr:colOff>
      <xdr:row>5</xdr:row>
      <xdr:rowOff>10886</xdr:rowOff>
    </xdr:from>
    <xdr:to>
      <xdr:col>7</xdr:col>
      <xdr:colOff>1360715</xdr:colOff>
      <xdr:row>48</xdr:row>
      <xdr:rowOff>533400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38596" y="1001486"/>
          <a:ext cx="6503719" cy="9399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fr-FR" sz="1400" b="1"/>
        </a:p>
      </xdr:txBody>
    </xdr:sp>
    <xdr:clientData/>
  </xdr:twoCellAnchor>
  <xdr:twoCellAnchor>
    <xdr:from>
      <xdr:col>8</xdr:col>
      <xdr:colOff>19851</xdr:colOff>
      <xdr:row>5</xdr:row>
      <xdr:rowOff>10886</xdr:rowOff>
    </xdr:from>
    <xdr:to>
      <xdr:col>15</xdr:col>
      <xdr:colOff>1338942</xdr:colOff>
      <xdr:row>48</xdr:row>
      <xdr:rowOff>566057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6563526" y="1001486"/>
          <a:ext cx="6414966" cy="9432471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fr-FR" sz="1400"/>
        </a:p>
      </xdr:txBody>
    </xdr:sp>
    <xdr:clientData/>
  </xdr:twoCellAnchor>
  <xdr:oneCellAnchor>
    <xdr:from>
      <xdr:col>8</xdr:col>
      <xdr:colOff>651222</xdr:colOff>
      <xdr:row>32</xdr:row>
      <xdr:rowOff>90053</xdr:rowOff>
    </xdr:from>
    <xdr:ext cx="4715436" cy="530658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7194897" y="5481203"/>
          <a:ext cx="4715436" cy="53065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fr-FR" sz="1400" b="1" u="none">
              <a:solidFill>
                <a:srgbClr val="FF0000"/>
              </a:solidFill>
            </a:rPr>
            <a:t>Care label</a:t>
          </a:r>
          <a:r>
            <a:rPr lang="fr-FR" sz="1400" b="1" u="none" baseline="0">
              <a:solidFill>
                <a:srgbClr val="FF0000"/>
              </a:solidFill>
            </a:rPr>
            <a:t> should always be on left side /</a:t>
          </a:r>
        </a:p>
        <a:p>
          <a:pPr algn="ctr"/>
          <a:r>
            <a:rPr lang="fr-FR" sz="1400" b="1" u="none" baseline="0">
              <a:solidFill>
                <a:srgbClr val="FF0000"/>
              </a:solidFill>
            </a:rPr>
            <a:t>L'étiquette d'entretien doit toujours être du côté gauche</a:t>
          </a:r>
        </a:p>
      </xdr:txBody>
    </xdr:sp>
    <xdr:clientData/>
  </xdr:oneCellAnchor>
  <xdr:twoCellAnchor>
    <xdr:from>
      <xdr:col>13</xdr:col>
      <xdr:colOff>258534</xdr:colOff>
      <xdr:row>38</xdr:row>
      <xdr:rowOff>81643</xdr:rowOff>
    </xdr:from>
    <xdr:to>
      <xdr:col>15</xdr:col>
      <xdr:colOff>598713</xdr:colOff>
      <xdr:row>47</xdr:row>
      <xdr:rowOff>291996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11161432" y="6295865"/>
          <a:ext cx="1739031" cy="3091923"/>
          <a:chOff x="2430236" y="7010400"/>
          <a:chExt cx="1856014" cy="3003368"/>
        </a:xfrm>
      </xdr:grpSpPr>
      <xdr:pic>
        <xdr:nvPicPr>
          <xdr:cNvPr id="6" name="Image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E5E3E1"/>
              </a:clrFrom>
              <a:clrTo>
                <a:srgbClr val="E5E3E1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2430236" y="7010400"/>
            <a:ext cx="1856014" cy="3003368"/>
          </a:xfrm>
          <a:prstGeom prst="rect">
            <a:avLst/>
          </a:prstGeom>
        </xdr:spPr>
      </xdr:pic>
      <xdr:pic>
        <xdr:nvPicPr>
          <xdr:cNvPr id="7" name="Image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67982" y="7088983"/>
            <a:ext cx="356543" cy="36681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oneCellAnchor>
    <xdr:from>
      <xdr:col>8</xdr:col>
      <xdr:colOff>353785</xdr:colOff>
      <xdr:row>42</xdr:row>
      <xdr:rowOff>94455</xdr:rowOff>
    </xdr:from>
    <xdr:ext cx="3388178" cy="1344792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6897460" y="7104855"/>
          <a:ext cx="3388178" cy="13447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fr-FR" sz="1200" baseline="0">
              <a:effectLst/>
            </a:rPr>
            <a:t>Puce de taille assemblée avec l'étiquette de composition et placé au centre de celle-ci. </a:t>
          </a:r>
        </a:p>
        <a:p>
          <a:pPr algn="l"/>
          <a:r>
            <a:rPr lang="fr-FR" sz="1200" baseline="0">
              <a:effectLst/>
            </a:rPr>
            <a:t>Fil coloris ton sur ton.</a:t>
          </a:r>
          <a:endParaRPr lang="fr-FR" sz="1200">
            <a:effectLst/>
          </a:endParaRPr>
        </a:p>
        <a:p>
          <a:endParaRPr lang="fr-FR" sz="8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 label assembly with the carelabel in the middle of it.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Thread color tone on tone.</a:t>
          </a:r>
          <a:endParaRPr lang="fr-FR" sz="1200">
            <a:effectLst/>
          </a:endParaRPr>
        </a:p>
      </xdr:txBody>
    </xdr:sp>
    <xdr:clientData/>
  </xdr:oneCellAnchor>
  <xdr:twoCellAnchor>
    <xdr:from>
      <xdr:col>25</xdr:col>
      <xdr:colOff>1</xdr:colOff>
      <xdr:row>6</xdr:row>
      <xdr:rowOff>78923</xdr:rowOff>
    </xdr:from>
    <xdr:to>
      <xdr:col>33</xdr:col>
      <xdr:colOff>233138</xdr:colOff>
      <xdr:row>46</xdr:row>
      <xdr:rowOff>261739</xdr:rowOff>
    </xdr:to>
    <xdr:grpSp>
      <xdr:nvGrpSpPr>
        <xdr:cNvPr id="9" name="Group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pSpPr/>
      </xdr:nvGrpSpPr>
      <xdr:grpSpPr>
        <a:xfrm>
          <a:off x="20866250" y="1243080"/>
          <a:ext cx="6656887" cy="7474102"/>
          <a:chOff x="19825608" y="1262744"/>
          <a:chExt cx="6329137" cy="7707566"/>
        </a:xfrm>
      </xdr:grpSpPr>
      <xdr:sp macro="" textlink="">
        <xdr:nvSpPr>
          <xdr:cNvPr id="10" name="ZoneTexte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19866883" y="1560288"/>
            <a:ext cx="3072925" cy="120559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r>
              <a:rPr lang="fr-FR" sz="1100" b="1" u="sng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For shirts</a:t>
            </a:r>
            <a:r>
              <a:rPr lang="fr-FR" sz="1100" b="1" u="sng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and top / Pour chemises et tops :</a:t>
            </a:r>
            <a:endParaRPr lang="fr-FR">
              <a:effectLst/>
            </a:endParaRPr>
          </a:p>
          <a:p>
            <a:pPr algn="l"/>
            <a:r>
              <a:rPr lang="fr-FR" sz="1200" b="1" u="none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Ref. : VBR WL 0002</a:t>
            </a:r>
            <a:r>
              <a:rPr lang="fr-FR" sz="1200" b="1" u="none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/ Dimension: 15x70mm</a:t>
            </a:r>
            <a:endParaRPr lang="fr-FR" sz="1200" b="1" u="none">
              <a:solidFill>
                <a:sysClr val="windowText" lastClr="000000"/>
              </a:solidFill>
            </a:endParaRPr>
          </a:p>
        </xdr:txBody>
      </xdr:sp>
      <xdr:pic>
        <xdr:nvPicPr>
          <xdr:cNvPr id="11" name="Image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184653" y="1262744"/>
            <a:ext cx="2740264" cy="872170"/>
          </a:xfrm>
          <a:prstGeom prst="rect">
            <a:avLst/>
          </a:prstGeom>
        </xdr:spPr>
      </xdr:pic>
      <xdr:pic>
        <xdr:nvPicPr>
          <xdr:cNvPr id="12" name="Image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3184652" y="2183494"/>
            <a:ext cx="2970093" cy="648234"/>
          </a:xfrm>
          <a:prstGeom prst="rect">
            <a:avLst/>
          </a:prstGeom>
        </xdr:spPr>
      </xdr:pic>
      <xdr:pic>
        <xdr:nvPicPr>
          <xdr:cNvPr id="13" name="Image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3486277" y="3231243"/>
            <a:ext cx="2525593" cy="718549"/>
          </a:xfrm>
          <a:prstGeom prst="rect">
            <a:avLst/>
          </a:prstGeom>
        </xdr:spPr>
      </xdr:pic>
      <xdr:sp macro="" textlink="">
        <xdr:nvSpPr>
          <xdr:cNvPr id="14" name="ZoneTexte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9825608" y="2700113"/>
            <a:ext cx="3630387" cy="21559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aseline="0">
                <a:effectLst/>
              </a:rPr>
              <a:t>Montage machine de 4 points au centimètre a droite et gauche de l'étiquette de marque</a:t>
            </a:r>
          </a:p>
          <a:p>
            <a:r>
              <a:rPr lang="fr-FR" sz="1200">
                <a:effectLst/>
              </a:rPr>
              <a:t>Fil ton/ton de la griffe Vanessa Bruno.</a:t>
            </a:r>
          </a:p>
          <a:p>
            <a:endParaRPr lang="fr-FR" sz="1200">
              <a:effectLst/>
            </a:endParaRPr>
          </a:p>
          <a:p>
            <a:r>
              <a:rPr lang="fr-FR" sz="1200">
                <a:effectLst/>
              </a:rPr>
              <a:t>Sewing machine with</a:t>
            </a:r>
            <a:r>
              <a:rPr lang="fr-FR" sz="1200" baseline="0">
                <a:effectLst/>
              </a:rPr>
              <a:t> 4 points on centimeter placed on right and left of the brand label.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Thread color tone on tone with Vanessa Bruno label</a:t>
            </a:r>
            <a:endParaRPr lang="fr-FR" sz="1200">
              <a:effectLst/>
            </a:endParaRPr>
          </a:p>
        </xdr:txBody>
      </xdr:sp>
      <xdr:sp macro="" textlink="">
        <xdr:nvSpPr>
          <xdr:cNvPr id="15" name="ZoneTexte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9828329" y="4503066"/>
            <a:ext cx="6321881" cy="15929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aseline="0">
                <a:effectLst/>
              </a:rPr>
              <a:t>Le hangtag est attaché avec un sceau en coton et plastique autour de l'étiquette de marque.</a:t>
            </a:r>
          </a:p>
          <a:p>
            <a:pPr algn="l"/>
            <a:r>
              <a:rPr lang="fr-FR" sz="1200" baseline="0">
                <a:effectLst/>
              </a:rPr>
              <a:t>L'étiquette de marque est placé au centre du pied de col milieu dos a égal distance du haut et du bas du pied de col.</a:t>
            </a:r>
          </a:p>
          <a:p>
            <a:pPr algn="l"/>
            <a:endParaRPr lang="fr-FR" sz="1200" baseline="0">
              <a:effectLst/>
            </a:endParaRPr>
          </a:p>
          <a:p>
            <a:pPr algn="l"/>
            <a:r>
              <a:rPr lang="fr-FR" sz="1200" baseline="0">
                <a:effectLst/>
              </a:rPr>
              <a:t>The hangtag is attached with cotton and platic lock around the brand label.</a:t>
            </a:r>
          </a:p>
          <a:p>
            <a:pPr algn="l"/>
            <a:r>
              <a:rPr lang="fr-FR" sz="1200" baseline="0">
                <a:effectLst/>
              </a:rPr>
              <a:t>The brand label is placed at on middle back of the collar stand in equal distance since the top and bottom of the collar stand.</a:t>
            </a:r>
            <a:endParaRPr lang="fr-FR" sz="1200">
              <a:effectLst/>
            </a:endParaRPr>
          </a:p>
        </xdr:txBody>
      </xdr:sp>
      <xdr:pic>
        <xdr:nvPicPr>
          <xdr:cNvPr id="16" name="Image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0024271" y="6411687"/>
            <a:ext cx="5840186" cy="2558623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272144</xdr:colOff>
      <xdr:row>6</xdr:row>
      <xdr:rowOff>95252</xdr:rowOff>
    </xdr:from>
    <xdr:to>
      <xdr:col>24</xdr:col>
      <xdr:colOff>505281</xdr:colOff>
      <xdr:row>46</xdr:row>
      <xdr:rowOff>45600</xdr:rowOff>
    </xdr:to>
    <xdr:grpSp>
      <xdr:nvGrpSpPr>
        <xdr:cNvPr id="17" name="Groupe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pSpPr/>
      </xdr:nvGrpSpPr>
      <xdr:grpSpPr>
        <a:xfrm>
          <a:off x="13940250" y="1260171"/>
          <a:ext cx="6655363" cy="7246206"/>
          <a:chOff x="13249957" y="1285877"/>
          <a:chExt cx="6329137" cy="7606067"/>
        </a:xfrm>
      </xdr:grpSpPr>
      <xdr:sp macro="" textlink="">
        <xdr:nvSpPr>
          <xdr:cNvPr id="18" name="ZoneTexte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SpPr txBox="1"/>
        </xdr:nvSpPr>
        <xdr:spPr>
          <a:xfrm>
            <a:off x="13291232" y="1590952"/>
            <a:ext cx="3072925" cy="1227343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="1" u="sng">
                <a:solidFill>
                  <a:sysClr val="windowText" lastClr="000000"/>
                </a:solidFill>
              </a:rPr>
              <a:t>For shirts</a:t>
            </a:r>
            <a:r>
              <a:rPr lang="fr-FR" sz="1200" b="1" u="sng" baseline="0">
                <a:solidFill>
                  <a:sysClr val="windowText" lastClr="000000"/>
                </a:solidFill>
              </a:rPr>
              <a:t> and top / Pour chemises et tops :</a:t>
            </a:r>
            <a:endParaRPr lang="fr-FR" sz="1200" b="1" u="sng">
              <a:solidFill>
                <a:sysClr val="windowText" lastClr="000000"/>
              </a:solidFill>
            </a:endParaRPr>
          </a:p>
          <a:p>
            <a:pPr algn="l"/>
            <a:r>
              <a:rPr lang="fr-FR" sz="1200" b="1" u="none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Ref. : VBR WL 0002</a:t>
            </a:r>
            <a:r>
              <a:rPr lang="fr-FR" sz="1200" b="1" u="none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/ Dimension: 15x70mm</a:t>
            </a:r>
            <a:endParaRPr lang="fr-FR" sz="1200" b="1" u="none">
              <a:solidFill>
                <a:sysClr val="windowText" lastClr="000000"/>
              </a:solidFill>
            </a:endParaRPr>
          </a:p>
        </xdr:txBody>
      </xdr:sp>
      <xdr:pic>
        <xdr:nvPicPr>
          <xdr:cNvPr id="19" name="Image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609002" y="1285877"/>
            <a:ext cx="2740264" cy="887398"/>
          </a:xfrm>
          <a:prstGeom prst="rect">
            <a:avLst/>
          </a:prstGeom>
        </xdr:spPr>
      </xdr:pic>
      <xdr:pic>
        <xdr:nvPicPr>
          <xdr:cNvPr id="20" name="Image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6609001" y="2228430"/>
            <a:ext cx="2970093" cy="661805"/>
          </a:xfrm>
          <a:prstGeom prst="rect">
            <a:avLst/>
          </a:prstGeom>
        </xdr:spPr>
      </xdr:pic>
      <xdr:pic>
        <xdr:nvPicPr>
          <xdr:cNvPr id="21" name="Image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6910626" y="3294420"/>
            <a:ext cx="2525593" cy="738086"/>
          </a:xfrm>
          <a:prstGeom prst="rect">
            <a:avLst/>
          </a:prstGeom>
        </xdr:spPr>
      </xdr:pic>
      <xdr:sp macro="" textlink="">
        <xdr:nvSpPr>
          <xdr:cNvPr id="22" name="ZoneTexte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13249957" y="2754374"/>
            <a:ext cx="3630387" cy="21987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aseline="0">
                <a:effectLst/>
              </a:rPr>
              <a:t>Montage machine de 4 points au centimètre a droite et gauche de l'étiquette de marque</a:t>
            </a:r>
          </a:p>
          <a:p>
            <a:r>
              <a:rPr lang="fr-FR" sz="1200">
                <a:effectLst/>
              </a:rPr>
              <a:t>Fil ton/ton de la griffe Vanessa Bruno.</a:t>
            </a:r>
          </a:p>
          <a:p>
            <a:endParaRPr lang="fr-FR" sz="1200">
              <a:effectLst/>
            </a:endParaRPr>
          </a:p>
          <a:p>
            <a:r>
              <a:rPr lang="fr-FR" sz="1200">
                <a:effectLst/>
              </a:rPr>
              <a:t>Sewing machine with</a:t>
            </a:r>
            <a:r>
              <a:rPr lang="fr-FR" sz="1200" baseline="0">
                <a:effectLst/>
              </a:rPr>
              <a:t> 4 points on centimeter placed on right and left of the brand label.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Thread color tone on tone with Vanessa Bruno label.</a:t>
            </a:r>
            <a:endParaRPr lang="fr-FR" sz="1200">
              <a:effectLst/>
            </a:endParaRPr>
          </a:p>
        </xdr:txBody>
      </xdr:sp>
      <xdr:sp macro="" textlink="">
        <xdr:nvSpPr>
          <xdr:cNvPr id="23" name="ZoneTexte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>
            <a:off x="13252678" y="4594077"/>
            <a:ext cx="6321881" cy="11504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aseline="0">
                <a:effectLst/>
              </a:rPr>
              <a:t>Le hangtag est attaché avec un sceau en coton et plastique autour de l'étiquette de marque.</a:t>
            </a:r>
          </a:p>
          <a:p>
            <a:pPr algn="l"/>
            <a:r>
              <a:rPr lang="fr-FR" sz="1200" baseline="0">
                <a:effectLst/>
              </a:rPr>
              <a:t>L'étiquette de marque est placé au centre de l'encolure encolure milieu dos et a 2 cm du bord.</a:t>
            </a:r>
          </a:p>
          <a:p>
            <a:pPr algn="l"/>
            <a:endParaRPr lang="fr-FR" sz="1200" baseline="0">
              <a:effectLst/>
            </a:endParaRPr>
          </a:p>
          <a:p>
            <a:pPr algn="l"/>
            <a:r>
              <a:rPr lang="fr-FR" sz="1200" baseline="0">
                <a:effectLst/>
              </a:rPr>
              <a:t>The hangtag is attached with cotton and platic lock around the brand label.</a:t>
            </a:r>
          </a:p>
          <a:p>
            <a:pPr algn="l"/>
            <a:r>
              <a:rPr lang="fr-FR" sz="1200" baseline="0">
                <a:effectLst/>
              </a:rPr>
              <a:t>The brand label is placed on middle back neckline from 2 cm since the top.</a:t>
            </a:r>
            <a:endParaRPr lang="fr-FR" sz="1200">
              <a:effectLst/>
            </a:endParaRPr>
          </a:p>
        </xdr:txBody>
      </xdr:sp>
      <xdr:grpSp>
        <xdr:nvGrpSpPr>
          <xdr:cNvPr id="24" name="Groupe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GrpSpPr/>
        </xdr:nvGrpSpPr>
        <xdr:grpSpPr>
          <a:xfrm>
            <a:off x="13478555" y="6215403"/>
            <a:ext cx="5823128" cy="2676541"/>
            <a:chOff x="13480719" y="6277099"/>
            <a:chExt cx="5823128" cy="2662470"/>
          </a:xfrm>
        </xdr:grpSpPr>
        <xdr:grpSp>
          <xdr:nvGrpSpPr>
            <xdr:cNvPr id="25" name="Groupe 24">
              <a:extLst>
                <a:ext uri="{FF2B5EF4-FFF2-40B4-BE49-F238E27FC236}">
                  <a16:creationId xmlns:a16="http://schemas.microsoft.com/office/drawing/2014/main" id="{00000000-0008-0000-0A00-000019000000}"/>
                </a:ext>
              </a:extLst>
            </xdr:cNvPr>
            <xdr:cNvGrpSpPr/>
          </xdr:nvGrpSpPr>
          <xdr:grpSpPr>
            <a:xfrm>
              <a:off x="13480719" y="6277099"/>
              <a:ext cx="5823128" cy="2662470"/>
              <a:chOff x="13480719" y="6277099"/>
              <a:chExt cx="5823128" cy="2662470"/>
            </a:xfrm>
          </xdr:grpSpPr>
          <xdr:pic>
            <xdr:nvPicPr>
              <xdr:cNvPr id="27" name="Image 26">
                <a:extLst>
                  <a:ext uri="{FF2B5EF4-FFF2-40B4-BE49-F238E27FC236}">
                    <a16:creationId xmlns:a16="http://schemas.microsoft.com/office/drawing/2014/main" id="{00000000-0008-0000-0A00-00001B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/>
              <a:stretch>
                <a:fillRect/>
              </a:stretch>
            </xdr:blipFill>
            <xdr:spPr>
              <a:xfrm>
                <a:off x="13480719" y="6277099"/>
                <a:ext cx="5823128" cy="2662470"/>
              </a:xfrm>
              <a:prstGeom prst="rect">
                <a:avLst/>
              </a:prstGeom>
            </xdr:spPr>
          </xdr:pic>
          <xdr:cxnSp macro="">
            <xdr:nvCxnSpPr>
              <xdr:cNvPr id="28" name="Connecteur droit avec flèche 27">
                <a:extLst>
                  <a:ext uri="{FF2B5EF4-FFF2-40B4-BE49-F238E27FC236}">
                    <a16:creationId xmlns:a16="http://schemas.microsoft.com/office/drawing/2014/main" id="{00000000-0008-0000-0A00-00001C000000}"/>
                  </a:ext>
                </a:extLst>
              </xdr:cNvPr>
              <xdr:cNvCxnSpPr/>
            </xdr:nvCxnSpPr>
            <xdr:spPr>
              <a:xfrm>
                <a:off x="16209818" y="6745432"/>
                <a:ext cx="0" cy="311727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headEnd type="triangl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00000000-0008-0000-0A00-00001A000000}"/>
                </a:ext>
              </a:extLst>
            </xdr:cNvPr>
            <xdr:cNvSpPr txBox="1"/>
          </xdr:nvSpPr>
          <xdr:spPr>
            <a:xfrm>
              <a:off x="15750886" y="6771409"/>
              <a:ext cx="493569" cy="26843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>
                  <a:solidFill>
                    <a:srgbClr val="FF0000"/>
                  </a:solidFill>
                </a:rPr>
                <a:t>2 CM</a:t>
              </a:r>
            </a:p>
          </xdr:txBody>
        </xdr:sp>
      </xdr:grpSp>
    </xdr:grpSp>
    <xdr:clientData/>
  </xdr:twoCellAnchor>
  <xdr:twoCellAnchor>
    <xdr:from>
      <xdr:col>33</xdr:col>
      <xdr:colOff>523876</xdr:colOff>
      <xdr:row>6</xdr:row>
      <xdr:rowOff>71439</xdr:rowOff>
    </xdr:from>
    <xdr:to>
      <xdr:col>41</xdr:col>
      <xdr:colOff>761664</xdr:colOff>
      <xdr:row>45</xdr:row>
      <xdr:rowOff>428625</xdr:rowOff>
    </xdr:to>
    <xdr:grpSp>
      <xdr:nvGrpSpPr>
        <xdr:cNvPr id="29" name="Groupe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GrpSpPr/>
      </xdr:nvGrpSpPr>
      <xdr:grpSpPr>
        <a:xfrm>
          <a:off x="27827972" y="1235596"/>
          <a:ext cx="6662681" cy="7022781"/>
          <a:chOff x="26455689" y="1262064"/>
          <a:chExt cx="6333788" cy="7369967"/>
        </a:xfrm>
      </xdr:grpSpPr>
      <xdr:pic>
        <xdr:nvPicPr>
          <xdr:cNvPr id="30" name="Image 29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6685309" y="6072190"/>
            <a:ext cx="5755454" cy="2559841"/>
          </a:xfrm>
          <a:prstGeom prst="rect">
            <a:avLst/>
          </a:prstGeom>
        </xdr:spPr>
      </xdr:pic>
      <xdr:sp macro="" textlink="">
        <xdr:nvSpPr>
          <xdr:cNvPr id="31" name="ZoneTexte 30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SpPr txBox="1"/>
        </xdr:nvSpPr>
        <xdr:spPr>
          <a:xfrm>
            <a:off x="26503314" y="1559608"/>
            <a:ext cx="3072925" cy="120559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r>
              <a:rPr lang="fr-FR" sz="1100" b="1" u="sng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For shirts</a:t>
            </a:r>
            <a:r>
              <a:rPr lang="fr-FR" sz="1100" b="1" u="sng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and top / Pour chemises et tops :</a:t>
            </a:r>
            <a:endParaRPr lang="fr-FR">
              <a:effectLst/>
            </a:endParaRPr>
          </a:p>
          <a:p>
            <a:pPr algn="l"/>
            <a:r>
              <a:rPr lang="fr-FR" sz="1200" b="1" u="none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Ref. : VBR WL 0002</a:t>
            </a:r>
            <a:r>
              <a:rPr lang="fr-FR" sz="1200" b="1" u="none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/ Dimension: 15x70mm</a:t>
            </a:r>
            <a:endParaRPr lang="fr-FR" sz="1200" b="1" u="none">
              <a:solidFill>
                <a:sysClr val="windowText" lastClr="000000"/>
              </a:solidFill>
            </a:endParaRPr>
          </a:p>
        </xdr:txBody>
      </xdr:sp>
      <xdr:pic>
        <xdr:nvPicPr>
          <xdr:cNvPr id="32" name="Image 31">
            <a:extLst>
              <a:ext uri="{FF2B5EF4-FFF2-40B4-BE49-F238E27FC236}">
                <a16:creationId xmlns:a16="http://schemas.microsoft.com/office/drawing/2014/main" id="{00000000-0008-0000-0A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9821084" y="1262064"/>
            <a:ext cx="2740264" cy="872170"/>
          </a:xfrm>
          <a:prstGeom prst="rect">
            <a:avLst/>
          </a:prstGeom>
        </xdr:spPr>
      </xdr:pic>
      <xdr:sp macro="" textlink="">
        <xdr:nvSpPr>
          <xdr:cNvPr id="33" name="ZoneTexte 32">
            <a:extLst>
              <a:ext uri="{FF2B5EF4-FFF2-40B4-BE49-F238E27FC236}">
                <a16:creationId xmlns:a16="http://schemas.microsoft.com/office/drawing/2014/main" id="{00000000-0008-0000-0A00-000021000000}"/>
              </a:ext>
            </a:extLst>
          </xdr:cNvPr>
          <xdr:cNvSpPr txBox="1"/>
        </xdr:nvSpPr>
        <xdr:spPr>
          <a:xfrm>
            <a:off x="26455689" y="2616883"/>
            <a:ext cx="3630387" cy="21980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aseline="0">
                <a:effectLst/>
              </a:rPr>
              <a:t>Montage points main à droite et gauche de l'étiquette de marque.</a:t>
            </a:r>
          </a:p>
          <a:p>
            <a:r>
              <a:rPr lang="fr-FR" sz="1200">
                <a:effectLst/>
              </a:rPr>
              <a:t>Fil ton/ton de la griffe Vanessa Bruno.</a:t>
            </a:r>
          </a:p>
          <a:p>
            <a:endParaRPr lang="fr-FR" sz="1200">
              <a:effectLst/>
            </a:endParaRPr>
          </a:p>
          <a:p>
            <a:r>
              <a:rPr lang="fr-FR" sz="1200">
                <a:effectLst/>
              </a:rPr>
              <a:t>Hand stitches</a:t>
            </a:r>
            <a:r>
              <a:rPr lang="fr-FR" sz="1200" baseline="0">
                <a:effectLst/>
              </a:rPr>
              <a:t> placed on right and left of the brand label.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Thread color tone on tone with Vanessa Bruno label</a:t>
            </a:r>
            <a:endParaRPr lang="fr-FR" sz="1200">
              <a:effectLst/>
            </a:endParaRPr>
          </a:p>
        </xdr:txBody>
      </xdr:sp>
      <xdr:pic>
        <xdr:nvPicPr>
          <xdr:cNvPr id="34" name="Image 33">
            <a:extLst>
              <a:ext uri="{FF2B5EF4-FFF2-40B4-BE49-F238E27FC236}">
                <a16:creationId xmlns:a16="http://schemas.microsoft.com/office/drawing/2014/main" id="{00000000-0008-0000-0A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0044013" y="2333398"/>
            <a:ext cx="2728114" cy="888999"/>
          </a:xfrm>
          <a:prstGeom prst="rect">
            <a:avLst/>
          </a:prstGeom>
        </xdr:spPr>
      </xdr:pic>
      <xdr:pic>
        <xdr:nvPicPr>
          <xdr:cNvPr id="35" name="Image 3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9926765" y="3512684"/>
            <a:ext cx="2718361" cy="705529"/>
          </a:xfrm>
          <a:prstGeom prst="rect">
            <a:avLst/>
          </a:prstGeom>
        </xdr:spPr>
      </xdr:pic>
      <xdr:sp macro="" textlink="">
        <xdr:nvSpPr>
          <xdr:cNvPr id="36" name="ZoneTexte 35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SpPr txBox="1"/>
        </xdr:nvSpPr>
        <xdr:spPr>
          <a:xfrm>
            <a:off x="26467596" y="4412799"/>
            <a:ext cx="6321881" cy="14212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aseline="0">
                <a:effectLst/>
              </a:rPr>
              <a:t>Le hangtag est attaché avec un sceau en coton et plastique autour de l'étiquette de marque.</a:t>
            </a:r>
          </a:p>
          <a:p>
            <a:pPr algn="l"/>
            <a:r>
              <a:rPr lang="fr-FR" sz="1200" baseline="0">
                <a:effectLst/>
              </a:rPr>
              <a:t>L'étiquette de marque est placé en dessous du pied de col milieu dos.</a:t>
            </a:r>
          </a:p>
          <a:p>
            <a:pPr algn="l"/>
            <a:endParaRPr lang="fr-FR" sz="1200" baseline="0">
              <a:effectLst/>
            </a:endParaRPr>
          </a:p>
          <a:p>
            <a:pPr algn="l"/>
            <a:r>
              <a:rPr lang="fr-FR" sz="1200" baseline="0">
                <a:effectLst/>
              </a:rPr>
              <a:t>The hangtag is attached with cotton and platic lock around the brand label.</a:t>
            </a:r>
          </a:p>
          <a:p>
            <a:pPr algn="l"/>
            <a:r>
              <a:rPr lang="fr-FR" sz="1200" baseline="0">
                <a:effectLst/>
              </a:rPr>
              <a:t>The brand label is placed below the middle back collar stand.</a:t>
            </a:r>
            <a:endParaRPr lang="fr-FR" sz="1200">
              <a:effectLst/>
            </a:endParaRPr>
          </a:p>
        </xdr:txBody>
      </xdr:sp>
    </xdr:grpSp>
    <xdr:clientData/>
  </xdr:twoCellAnchor>
  <xdr:twoCellAnchor>
    <xdr:from>
      <xdr:col>25</xdr:col>
      <xdr:colOff>47625</xdr:colOff>
      <xdr:row>49</xdr:row>
      <xdr:rowOff>206375</xdr:rowOff>
    </xdr:from>
    <xdr:to>
      <xdr:col>33</xdr:col>
      <xdr:colOff>220438</xdr:colOff>
      <xdr:row>95</xdr:row>
      <xdr:rowOff>63500</xdr:rowOff>
    </xdr:to>
    <xdr:grpSp>
      <xdr:nvGrpSpPr>
        <xdr:cNvPr id="37" name="Groupe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GrpSpPr/>
      </xdr:nvGrpSpPr>
      <xdr:grpSpPr>
        <a:xfrm>
          <a:off x="20916541" y="10404938"/>
          <a:ext cx="6592753" cy="7657024"/>
          <a:chOff x="19859625" y="10525125"/>
          <a:chExt cx="6268813" cy="7715250"/>
        </a:xfrm>
      </xdr:grpSpPr>
      <xdr:pic>
        <xdr:nvPicPr>
          <xdr:cNvPr id="38" name="Image 37">
            <a:extLst>
              <a:ext uri="{FF2B5EF4-FFF2-40B4-BE49-F238E27FC236}">
                <a16:creationId xmlns:a16="http://schemas.microsoft.com/office/drawing/2014/main" id="{00000000-0008-0000-0A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20276952" y="15429594"/>
            <a:ext cx="5226972" cy="2810781"/>
          </a:xfrm>
          <a:prstGeom prst="rect">
            <a:avLst/>
          </a:prstGeom>
        </xdr:spPr>
      </xdr:pic>
      <xdr:grpSp>
        <xdr:nvGrpSpPr>
          <xdr:cNvPr id="39" name="Groupe 38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GrpSpPr/>
        </xdr:nvGrpSpPr>
        <xdr:grpSpPr>
          <a:xfrm>
            <a:off x="19859625" y="10525125"/>
            <a:ext cx="6268813" cy="4465054"/>
            <a:chOff x="33047213" y="10971441"/>
            <a:chExt cx="6268813" cy="4465054"/>
          </a:xfrm>
        </xdr:grpSpPr>
        <xdr:sp macro="" textlink="">
          <xdr:nvSpPr>
            <xdr:cNvPr id="40" name="ZoneTexte 39">
              <a:extLst>
                <a:ext uri="{FF2B5EF4-FFF2-40B4-BE49-F238E27FC236}">
                  <a16:creationId xmlns:a16="http://schemas.microsoft.com/office/drawing/2014/main" id="{00000000-0008-0000-0A00-000028000000}"/>
                </a:ext>
              </a:extLst>
            </xdr:cNvPr>
            <xdr:cNvSpPr txBox="1"/>
          </xdr:nvSpPr>
          <xdr:spPr>
            <a:xfrm>
              <a:off x="33047213" y="11268985"/>
              <a:ext cx="3072925" cy="120559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r>
                <a:rPr lang="fr-FR" sz="1100" b="1" u="sng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For shirts</a:t>
              </a:r>
              <a:r>
                <a:rPr lang="fr-FR" sz="1100" b="1" u="sng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and top / Pour chemises et tops :</a:t>
              </a:r>
              <a:endParaRPr lang="fr-FR">
                <a:effectLst/>
              </a:endParaRPr>
            </a:p>
            <a:p>
              <a:pPr algn="l"/>
              <a:r>
                <a:rPr lang="fr-FR" sz="1200" b="1" u="none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Ref. : VBR WL 0002</a:t>
              </a:r>
              <a:r>
                <a:rPr lang="fr-FR" sz="1200" b="1" u="none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/ Dimension: 15x70mm</a:t>
              </a:r>
              <a:endParaRPr lang="fr-FR" sz="1200" b="1" u="none">
                <a:solidFill>
                  <a:sysClr val="windowText" lastClr="000000"/>
                </a:solidFill>
              </a:endParaRPr>
            </a:p>
          </xdr:txBody>
        </xdr:sp>
        <xdr:pic>
          <xdr:nvPicPr>
            <xdr:cNvPr id="41" name="Image 40">
              <a:extLst>
                <a:ext uri="{FF2B5EF4-FFF2-40B4-BE49-F238E27FC236}">
                  <a16:creationId xmlns:a16="http://schemas.microsoft.com/office/drawing/2014/main" id="{00000000-0008-0000-0A00-000029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6364983" y="10971441"/>
              <a:ext cx="2740264" cy="872170"/>
            </a:xfrm>
            <a:prstGeom prst="rect">
              <a:avLst/>
            </a:prstGeom>
          </xdr:spPr>
        </xdr:pic>
        <xdr:pic>
          <xdr:nvPicPr>
            <xdr:cNvPr id="42" name="Image 41">
              <a:extLst>
                <a:ext uri="{FF2B5EF4-FFF2-40B4-BE49-F238E27FC236}">
                  <a16:creationId xmlns:a16="http://schemas.microsoft.com/office/drawing/2014/main" id="{00000000-0008-0000-0A00-00002A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587912" y="12042775"/>
              <a:ext cx="2728114" cy="888999"/>
            </a:xfrm>
            <a:prstGeom prst="rect">
              <a:avLst/>
            </a:prstGeom>
          </xdr:spPr>
        </xdr:pic>
        <xdr:pic>
          <xdr:nvPicPr>
            <xdr:cNvPr id="43" name="Image 42">
              <a:extLst>
                <a:ext uri="{FF2B5EF4-FFF2-40B4-BE49-F238E27FC236}">
                  <a16:creationId xmlns:a16="http://schemas.microsoft.com/office/drawing/2014/main" id="{00000000-0008-0000-0A00-00002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6470664" y="13222061"/>
              <a:ext cx="2718361" cy="705529"/>
            </a:xfrm>
            <a:prstGeom prst="rect">
              <a:avLst/>
            </a:prstGeom>
          </xdr:spPr>
        </xdr:pic>
        <xdr:sp macro="" textlink="">
          <xdr:nvSpPr>
            <xdr:cNvPr id="44" name="ZoneTexte 43">
              <a:extLst>
                <a:ext uri="{FF2B5EF4-FFF2-40B4-BE49-F238E27FC236}">
                  <a16:creationId xmlns:a16="http://schemas.microsoft.com/office/drawing/2014/main" id="{00000000-0008-0000-0A00-00002C000000}"/>
                </a:ext>
              </a:extLst>
            </xdr:cNvPr>
            <xdr:cNvSpPr txBox="1"/>
          </xdr:nvSpPr>
          <xdr:spPr>
            <a:xfrm>
              <a:off x="33085313" y="12475485"/>
              <a:ext cx="3630387" cy="21420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l"/>
              <a:r>
                <a:rPr lang="fr-FR" sz="1200" baseline="0">
                  <a:effectLst/>
                </a:rPr>
                <a:t>Montage points main à droite et gauche de l'étiquette de marque.</a:t>
              </a:r>
            </a:p>
            <a:p>
              <a:r>
                <a:rPr lang="fr-FR" sz="1200">
                  <a:effectLst/>
                </a:rPr>
                <a:t>Fil ton/ton de la griffe Vanessa Bruno.</a:t>
              </a:r>
            </a:p>
            <a:p>
              <a:endParaRPr lang="fr-FR" sz="1200">
                <a:effectLst/>
              </a:endParaRPr>
            </a:p>
            <a:p>
              <a:r>
                <a:rPr lang="fr-FR" sz="1200">
                  <a:effectLst/>
                </a:rPr>
                <a:t>Hand stitches</a:t>
              </a:r>
              <a:r>
                <a:rPr lang="fr-FR" sz="1200" baseline="0">
                  <a:effectLst/>
                </a:rPr>
                <a:t> placed on right and left of the brand label.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r-FR" sz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Thread color tone on tone with Vanessa Bruno label</a:t>
              </a:r>
              <a:endParaRPr lang="fr-FR" sz="1200">
                <a:effectLst/>
              </a:endParaRPr>
            </a:p>
          </xdr:txBody>
        </xdr:sp>
        <xdr:sp macro="" textlink="">
          <xdr:nvSpPr>
            <xdr:cNvPr id="45" name="ZoneTexte 44">
              <a:extLst>
                <a:ext uri="{FF2B5EF4-FFF2-40B4-BE49-F238E27FC236}">
                  <a16:creationId xmlns:a16="http://schemas.microsoft.com/office/drawing/2014/main" id="{00000000-0008-0000-0A00-00002D000000}"/>
                </a:ext>
              </a:extLst>
            </xdr:cNvPr>
            <xdr:cNvSpPr txBox="1"/>
          </xdr:nvSpPr>
          <xdr:spPr>
            <a:xfrm>
              <a:off x="33088034" y="14313432"/>
              <a:ext cx="6218465" cy="112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l"/>
              <a:r>
                <a:rPr lang="fr-FR" sz="1200" baseline="0">
                  <a:effectLst/>
                </a:rPr>
                <a:t>Le hangtag est attaché avec un sceau en coton et plastique autour de l'étiquette de marque.</a:t>
              </a:r>
            </a:p>
            <a:p>
              <a:pPr algn="l"/>
              <a:r>
                <a:rPr lang="fr-FR" sz="1200" baseline="0">
                  <a:effectLst/>
                </a:rPr>
                <a:t>L'étiquette de marque est placé sur le biais à l'encolure milieu dos.</a:t>
              </a:r>
            </a:p>
            <a:p>
              <a:pPr algn="l"/>
              <a:endParaRPr lang="fr-FR" sz="1200" baseline="0">
                <a:effectLst/>
              </a:endParaRPr>
            </a:p>
            <a:p>
              <a:pPr algn="l"/>
              <a:r>
                <a:rPr lang="fr-FR" sz="1200" baseline="0">
                  <a:effectLst/>
                </a:rPr>
                <a:t>The hangtag is attached with cotton and platic lock around the brand label.</a:t>
              </a:r>
            </a:p>
            <a:p>
              <a:pPr algn="l"/>
              <a:r>
                <a:rPr lang="fr-FR" sz="1200" baseline="0">
                  <a:effectLst/>
                </a:rPr>
                <a:t>The brand label is placed on biais in middle back neckline.</a:t>
              </a:r>
              <a:endParaRPr lang="fr-FR" sz="1200">
                <a:effectLst/>
              </a:endParaRPr>
            </a:p>
          </xdr:txBody>
        </xdr:sp>
      </xdr:grpSp>
    </xdr:grpSp>
    <xdr:clientData/>
  </xdr:twoCellAnchor>
  <xdr:twoCellAnchor>
    <xdr:from>
      <xdr:col>16</xdr:col>
      <xdr:colOff>327025</xdr:colOff>
      <xdr:row>49</xdr:row>
      <xdr:rowOff>263525</xdr:rowOff>
    </xdr:from>
    <xdr:to>
      <xdr:col>24</xdr:col>
      <xdr:colOff>640900</xdr:colOff>
      <xdr:row>90</xdr:row>
      <xdr:rowOff>142875</xdr:rowOff>
    </xdr:to>
    <xdr:grpSp>
      <xdr:nvGrpSpPr>
        <xdr:cNvPr id="46" name="Groupe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GrpSpPr/>
      </xdr:nvGrpSpPr>
      <xdr:grpSpPr>
        <a:xfrm>
          <a:off x="13996274" y="10461326"/>
          <a:ext cx="6741816" cy="6889593"/>
          <a:chOff x="13312775" y="10582275"/>
          <a:chExt cx="6409875" cy="6949017"/>
        </a:xfrm>
      </xdr:grpSpPr>
      <xdr:grpSp>
        <xdr:nvGrpSpPr>
          <xdr:cNvPr id="47" name="Groupe 46">
            <a:extLst>
              <a:ext uri="{FF2B5EF4-FFF2-40B4-BE49-F238E27FC236}">
                <a16:creationId xmlns:a16="http://schemas.microsoft.com/office/drawing/2014/main" id="{00000000-0008-0000-0A00-00002F000000}"/>
              </a:ext>
            </a:extLst>
          </xdr:cNvPr>
          <xdr:cNvGrpSpPr/>
        </xdr:nvGrpSpPr>
        <xdr:grpSpPr>
          <a:xfrm>
            <a:off x="13312775" y="10582275"/>
            <a:ext cx="6409875" cy="6949017"/>
            <a:chOff x="13312775" y="10582275"/>
            <a:chExt cx="6409875" cy="6949017"/>
          </a:xfrm>
        </xdr:grpSpPr>
        <xdr:grpSp>
          <xdr:nvGrpSpPr>
            <xdr:cNvPr id="49" name="Groupe 48">
              <a:extLst>
                <a:ext uri="{FF2B5EF4-FFF2-40B4-BE49-F238E27FC236}">
                  <a16:creationId xmlns:a16="http://schemas.microsoft.com/office/drawing/2014/main" id="{00000000-0008-0000-0A00-000031000000}"/>
                </a:ext>
              </a:extLst>
            </xdr:cNvPr>
            <xdr:cNvGrpSpPr/>
          </xdr:nvGrpSpPr>
          <xdr:grpSpPr>
            <a:xfrm>
              <a:off x="13312775" y="10582275"/>
              <a:ext cx="6409875" cy="6949017"/>
              <a:chOff x="13304838" y="10883900"/>
              <a:chExt cx="6409875" cy="7261225"/>
            </a:xfrm>
          </xdr:grpSpPr>
          <xdr:pic>
            <xdr:nvPicPr>
              <xdr:cNvPr id="51" name="Image 50">
                <a:extLst>
                  <a:ext uri="{FF2B5EF4-FFF2-40B4-BE49-F238E27FC236}">
                    <a16:creationId xmlns:a16="http://schemas.microsoft.com/office/drawing/2014/main" id="{00000000-0008-0000-0A00-000033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2"/>
              <a:stretch>
                <a:fillRect/>
              </a:stretch>
            </xdr:blipFill>
            <xdr:spPr>
              <a:xfrm>
                <a:off x="13578795" y="16182296"/>
                <a:ext cx="5619821" cy="1962829"/>
              </a:xfrm>
              <a:prstGeom prst="rect">
                <a:avLst/>
              </a:prstGeom>
            </xdr:spPr>
          </xdr:pic>
          <xdr:grpSp>
            <xdr:nvGrpSpPr>
              <xdr:cNvPr id="52" name="Groupe 51">
                <a:extLst>
                  <a:ext uri="{FF2B5EF4-FFF2-40B4-BE49-F238E27FC236}">
                    <a16:creationId xmlns:a16="http://schemas.microsoft.com/office/drawing/2014/main" id="{00000000-0008-0000-0A00-000034000000}"/>
                  </a:ext>
                </a:extLst>
              </xdr:cNvPr>
              <xdr:cNvGrpSpPr/>
            </xdr:nvGrpSpPr>
            <xdr:grpSpPr>
              <a:xfrm>
                <a:off x="13304838" y="10883900"/>
                <a:ext cx="6268813" cy="3808105"/>
                <a:chOff x="33047213" y="10971441"/>
                <a:chExt cx="6268813" cy="3646065"/>
              </a:xfrm>
            </xdr:grpSpPr>
            <xdr:sp macro="" textlink="">
              <xdr:nvSpPr>
                <xdr:cNvPr id="54" name="ZoneTexte 53">
                  <a:extLst>
                    <a:ext uri="{FF2B5EF4-FFF2-40B4-BE49-F238E27FC236}">
                      <a16:creationId xmlns:a16="http://schemas.microsoft.com/office/drawing/2014/main" id="{00000000-0008-0000-0A00-000036000000}"/>
                    </a:ext>
                  </a:extLst>
                </xdr:cNvPr>
                <xdr:cNvSpPr txBox="1"/>
              </xdr:nvSpPr>
              <xdr:spPr>
                <a:xfrm>
                  <a:off x="33047213" y="11268985"/>
                  <a:ext cx="3072925" cy="1205590"/>
                </a:xfrm>
                <a:prstGeom prst="rect">
                  <a:avLst/>
                </a:prstGeom>
                <a:noFill/>
                <a:ln>
                  <a:solidFill>
                    <a:sysClr val="windowText" lastClr="000000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r>
                    <a:rPr lang="fr-FR" sz="1100" b="1" u="sng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For shirts</a:t>
                  </a:r>
                  <a:r>
                    <a:rPr lang="fr-FR" sz="1100" b="1" u="sng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and top / Pour chemises et tops :</a:t>
                  </a:r>
                  <a:endParaRPr lang="fr-FR">
                    <a:effectLst/>
                  </a:endParaRPr>
                </a:p>
                <a:p>
                  <a:pPr algn="l"/>
                  <a:r>
                    <a:rPr lang="fr-FR" sz="1200" b="1" u="none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Ref. : VBR WL 0002</a:t>
                  </a:r>
                  <a:r>
                    <a:rPr lang="fr-FR" sz="1200" b="1" u="none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 Dimension: 15x70mm</a:t>
                  </a:r>
                  <a:endParaRPr lang="fr-FR" sz="1200" b="1" u="none">
                    <a:solidFill>
                      <a:sysClr val="windowText" lastClr="000000"/>
                    </a:solidFill>
                  </a:endParaRPr>
                </a:p>
              </xdr:txBody>
            </xdr:sp>
            <xdr:pic>
              <xdr:nvPicPr>
                <xdr:cNvPr id="55" name="Image 54">
                  <a:extLst>
                    <a:ext uri="{FF2B5EF4-FFF2-40B4-BE49-F238E27FC236}">
                      <a16:creationId xmlns:a16="http://schemas.microsoft.com/office/drawing/2014/main" id="{00000000-0008-0000-0A00-000037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36364983" y="10971441"/>
                  <a:ext cx="2740264" cy="872170"/>
                </a:xfrm>
                <a:prstGeom prst="rect">
                  <a:avLst/>
                </a:prstGeom>
              </xdr:spPr>
            </xdr:pic>
            <xdr:pic>
              <xdr:nvPicPr>
                <xdr:cNvPr id="56" name="Image 55">
                  <a:extLst>
                    <a:ext uri="{FF2B5EF4-FFF2-40B4-BE49-F238E27FC236}">
                      <a16:creationId xmlns:a16="http://schemas.microsoft.com/office/drawing/2014/main" id="{00000000-0008-0000-0A00-000038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/>
                <a:stretch>
                  <a:fillRect/>
                </a:stretch>
              </xdr:blipFill>
              <xdr:spPr>
                <a:xfrm>
                  <a:off x="36587912" y="12042775"/>
                  <a:ext cx="2728114" cy="888999"/>
                </a:xfrm>
                <a:prstGeom prst="rect">
                  <a:avLst/>
                </a:prstGeom>
              </xdr:spPr>
            </xdr:pic>
            <xdr:pic>
              <xdr:nvPicPr>
                <xdr:cNvPr id="57" name="Image 56">
                  <a:extLst>
                    <a:ext uri="{FF2B5EF4-FFF2-40B4-BE49-F238E27FC236}">
                      <a16:creationId xmlns:a16="http://schemas.microsoft.com/office/drawing/2014/main" id="{00000000-0008-0000-0A00-000039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/>
                <a:stretch>
                  <a:fillRect/>
                </a:stretch>
              </xdr:blipFill>
              <xdr:spPr>
                <a:xfrm>
                  <a:off x="36470664" y="13222061"/>
                  <a:ext cx="2718361" cy="705529"/>
                </a:xfrm>
                <a:prstGeom prst="rect">
                  <a:avLst/>
                </a:prstGeom>
              </xdr:spPr>
            </xdr:pic>
            <xdr:sp macro="" textlink="">
              <xdr:nvSpPr>
                <xdr:cNvPr id="58" name="ZoneTexte 57">
                  <a:extLst>
                    <a:ext uri="{FF2B5EF4-FFF2-40B4-BE49-F238E27FC236}">
                      <a16:creationId xmlns:a16="http://schemas.microsoft.com/office/drawing/2014/main" id="{00000000-0008-0000-0A00-00003A000000}"/>
                    </a:ext>
                  </a:extLst>
                </xdr:cNvPr>
                <xdr:cNvSpPr txBox="1"/>
              </xdr:nvSpPr>
              <xdr:spPr>
                <a:xfrm>
                  <a:off x="33085313" y="12475485"/>
                  <a:ext cx="3630387" cy="2142021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ctr">
                  <a:noAutofit/>
                </a:bodyPr>
                <a:lstStyle/>
                <a:p>
                  <a:pPr algn="l"/>
                  <a:r>
                    <a:rPr lang="fr-FR" sz="1200" baseline="0">
                      <a:effectLst/>
                    </a:rPr>
                    <a:t>Montage points main à droite et gauche de l'étiquette de marque.</a:t>
                  </a:r>
                </a:p>
                <a:p>
                  <a:r>
                    <a:rPr lang="fr-FR" sz="1200">
                      <a:effectLst/>
                    </a:rPr>
                    <a:t>Fil ton/ton de la griffe Vanessa Bruno.</a:t>
                  </a:r>
                </a:p>
                <a:p>
                  <a:endParaRPr lang="fr-FR" sz="1200">
                    <a:effectLst/>
                  </a:endParaRPr>
                </a:p>
                <a:p>
                  <a:r>
                    <a:rPr lang="fr-FR" sz="1200">
                      <a:effectLst/>
                    </a:rPr>
                    <a:t>Hand stitches</a:t>
                  </a:r>
                  <a:r>
                    <a:rPr lang="fr-FR" sz="1200" baseline="0">
                      <a:effectLst/>
                    </a:rPr>
                    <a:t> placed on right and left of the brand label.</a:t>
                  </a:r>
                </a:p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fr-FR" sz="12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Thread color tone on tone with Vanessa Bruno label</a:t>
                  </a:r>
                  <a:endParaRPr lang="fr-FR" sz="1200">
                    <a:effectLst/>
                  </a:endParaRPr>
                </a:p>
              </xdr:txBody>
            </xdr:sp>
          </xdr:grpSp>
          <xdr:sp macro="" textlink="">
            <xdr:nvSpPr>
              <xdr:cNvPr id="53" name="ZoneTexte 52">
                <a:extLst>
                  <a:ext uri="{FF2B5EF4-FFF2-40B4-BE49-F238E27FC236}">
                    <a16:creationId xmlns:a16="http://schemas.microsoft.com/office/drawing/2014/main" id="{00000000-0008-0000-0A00-000035000000}"/>
                  </a:ext>
                </a:extLst>
              </xdr:cNvPr>
              <xdr:cNvSpPr txBox="1"/>
            </xdr:nvSpPr>
            <xdr:spPr>
              <a:xfrm>
                <a:off x="13392832" y="14299408"/>
                <a:ext cx="6321881" cy="115045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l"/>
                <a:r>
                  <a:rPr lang="fr-FR" sz="1200" baseline="0">
                    <a:effectLst/>
                  </a:rPr>
                  <a:t>Le hangtag est attaché avec un sceau en coton et plastique autour de l'étiquette de marque.</a:t>
                </a:r>
              </a:p>
              <a:p>
                <a:pPr algn="l"/>
                <a:r>
                  <a:rPr lang="fr-FR" sz="1200" baseline="0">
                    <a:effectLst/>
                  </a:rPr>
                  <a:t>L'étiquette de marque est placé au centre de l'encolure encolure milieu dos et a 2 cm du bord.</a:t>
                </a:r>
              </a:p>
              <a:p>
                <a:pPr algn="l"/>
                <a:endParaRPr lang="fr-FR" sz="1200" baseline="0">
                  <a:effectLst/>
                </a:endParaRPr>
              </a:p>
              <a:p>
                <a:pPr algn="l"/>
                <a:r>
                  <a:rPr lang="fr-FR" sz="1200" baseline="0">
                    <a:effectLst/>
                  </a:rPr>
                  <a:t>The hangtag is attached with cotton and platic lock around the brand label.</a:t>
                </a:r>
              </a:p>
              <a:p>
                <a:pPr algn="l"/>
                <a:r>
                  <a:rPr lang="fr-FR" sz="1200" baseline="0">
                    <a:effectLst/>
                  </a:rPr>
                  <a:t>The brand label is placed on middle back neckline from 2 cm since the top.</a:t>
                </a:r>
                <a:endParaRPr lang="fr-FR" sz="1200">
                  <a:effectLst/>
                </a:endParaRPr>
              </a:p>
            </xdr:txBody>
          </xdr:sp>
        </xdr:grpSp>
        <xdr:cxnSp macro="">
          <xdr:nvCxnSpPr>
            <xdr:cNvPr id="50" name="Connecteur droit avec flèche 49">
              <a:extLst>
                <a:ext uri="{FF2B5EF4-FFF2-40B4-BE49-F238E27FC236}">
                  <a16:creationId xmlns:a16="http://schemas.microsoft.com/office/drawing/2014/main" id="{00000000-0008-0000-0A00-000032000000}"/>
                </a:ext>
              </a:extLst>
            </xdr:cNvPr>
            <xdr:cNvCxnSpPr/>
          </xdr:nvCxnSpPr>
          <xdr:spPr>
            <a:xfrm>
              <a:off x="16308917" y="15800917"/>
              <a:ext cx="0" cy="296333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8" name="ZoneTexte 47">
            <a:extLst>
              <a:ext uri="{FF2B5EF4-FFF2-40B4-BE49-F238E27FC236}">
                <a16:creationId xmlns:a16="http://schemas.microsoft.com/office/drawing/2014/main" id="{00000000-0008-0000-0A00-000030000000}"/>
              </a:ext>
            </a:extLst>
          </xdr:cNvPr>
          <xdr:cNvSpPr txBox="1"/>
        </xdr:nvSpPr>
        <xdr:spPr>
          <a:xfrm>
            <a:off x="15871976" y="15800919"/>
            <a:ext cx="493569" cy="2591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100">
                <a:solidFill>
                  <a:srgbClr val="FF0000"/>
                </a:solidFill>
              </a:rPr>
              <a:t>2 CM</a:t>
            </a:r>
          </a:p>
        </xdr:txBody>
      </xdr:sp>
    </xdr:grpSp>
    <xdr:clientData/>
  </xdr:twoCellAnchor>
  <xdr:twoCellAnchor>
    <xdr:from>
      <xdr:col>33</xdr:col>
      <xdr:colOff>593725</xdr:colOff>
      <xdr:row>49</xdr:row>
      <xdr:rowOff>203997</xdr:rowOff>
    </xdr:from>
    <xdr:to>
      <xdr:col>42</xdr:col>
      <xdr:colOff>145600</xdr:colOff>
      <xdr:row>101</xdr:row>
      <xdr:rowOff>74082</xdr:rowOff>
    </xdr:to>
    <xdr:grpSp>
      <xdr:nvGrpSpPr>
        <xdr:cNvPr id="59" name="Groupe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GrpSpPr/>
      </xdr:nvGrpSpPr>
      <xdr:grpSpPr>
        <a:xfrm>
          <a:off x="27901250" y="10402941"/>
          <a:ext cx="6743160" cy="8615895"/>
          <a:chOff x="26525538" y="11074401"/>
          <a:chExt cx="6409875" cy="9085523"/>
        </a:xfrm>
      </xdr:grpSpPr>
      <xdr:grpSp>
        <xdr:nvGrpSpPr>
          <xdr:cNvPr id="60" name="Groupe 59">
            <a:extLst>
              <a:ext uri="{FF2B5EF4-FFF2-40B4-BE49-F238E27FC236}">
                <a16:creationId xmlns:a16="http://schemas.microsoft.com/office/drawing/2014/main" id="{00000000-0008-0000-0A00-00003C000000}"/>
              </a:ext>
            </a:extLst>
          </xdr:cNvPr>
          <xdr:cNvGrpSpPr/>
        </xdr:nvGrpSpPr>
        <xdr:grpSpPr>
          <a:xfrm>
            <a:off x="26525538" y="11074401"/>
            <a:ext cx="6409875" cy="4563153"/>
            <a:chOff x="13304838" y="10883900"/>
            <a:chExt cx="6409875" cy="4565961"/>
          </a:xfrm>
        </xdr:grpSpPr>
        <xdr:grpSp>
          <xdr:nvGrpSpPr>
            <xdr:cNvPr id="66" name="Groupe 65">
              <a:extLst>
                <a:ext uri="{FF2B5EF4-FFF2-40B4-BE49-F238E27FC236}">
                  <a16:creationId xmlns:a16="http://schemas.microsoft.com/office/drawing/2014/main" id="{00000000-0008-0000-0A00-000042000000}"/>
                </a:ext>
              </a:extLst>
            </xdr:cNvPr>
            <xdr:cNvGrpSpPr/>
          </xdr:nvGrpSpPr>
          <xdr:grpSpPr>
            <a:xfrm>
              <a:off x="13304838" y="10883900"/>
              <a:ext cx="6268813" cy="3808105"/>
              <a:chOff x="33047213" y="10971441"/>
              <a:chExt cx="6268813" cy="3646065"/>
            </a:xfrm>
          </xdr:grpSpPr>
          <xdr:sp macro="" textlink="">
            <xdr:nvSpPr>
              <xdr:cNvPr id="68" name="ZoneTexte 67">
                <a:extLst>
                  <a:ext uri="{FF2B5EF4-FFF2-40B4-BE49-F238E27FC236}">
                    <a16:creationId xmlns:a16="http://schemas.microsoft.com/office/drawing/2014/main" id="{00000000-0008-0000-0A00-000044000000}"/>
                  </a:ext>
                </a:extLst>
              </xdr:cNvPr>
              <xdr:cNvSpPr txBox="1"/>
            </xdr:nvSpPr>
            <xdr:spPr>
              <a:xfrm>
                <a:off x="33047213" y="11268985"/>
                <a:ext cx="3072925" cy="1205590"/>
              </a:xfrm>
              <a:prstGeom prst="rect">
                <a:avLst/>
              </a:prstGeom>
              <a:noFill/>
              <a:ln>
                <a:solidFill>
                  <a:sysClr val="windowText" lastClr="00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r>
                  <a:rPr lang="fr-FR" sz="1100" b="1" u="sng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For shirts</a:t>
                </a:r>
                <a:r>
                  <a:rPr lang="fr-FR" sz="1100" b="1" u="sng" baseline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 and top / Pour chemises et tops :</a:t>
                </a:r>
                <a:endParaRPr lang="fr-FR">
                  <a:effectLst/>
                </a:endParaRPr>
              </a:p>
              <a:p>
                <a:pPr algn="l"/>
                <a:r>
                  <a:rPr lang="fr-FR" sz="1200" b="1" u="non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Ref. : VBR WL 0002</a:t>
                </a:r>
                <a:r>
                  <a:rPr lang="fr-FR" sz="1200" b="1" u="none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/ Dimension: 15x70mm</a:t>
                </a:r>
                <a:endParaRPr lang="fr-FR" sz="1200" b="1" u="none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69" name="Image 68">
                <a:extLst>
                  <a:ext uri="{FF2B5EF4-FFF2-40B4-BE49-F238E27FC236}">
                    <a16:creationId xmlns:a16="http://schemas.microsoft.com/office/drawing/2014/main" id="{00000000-0008-0000-0A00-000045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6364983" y="10971441"/>
                <a:ext cx="2740264" cy="872170"/>
              </a:xfrm>
              <a:prstGeom prst="rect">
                <a:avLst/>
              </a:prstGeom>
            </xdr:spPr>
          </xdr:pic>
          <xdr:pic>
            <xdr:nvPicPr>
              <xdr:cNvPr id="70" name="Image 69">
                <a:extLst>
                  <a:ext uri="{FF2B5EF4-FFF2-40B4-BE49-F238E27FC236}">
                    <a16:creationId xmlns:a16="http://schemas.microsoft.com/office/drawing/2014/main" id="{00000000-0008-0000-0A00-000046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/>
              <a:stretch>
                <a:fillRect/>
              </a:stretch>
            </xdr:blipFill>
            <xdr:spPr>
              <a:xfrm>
                <a:off x="36587912" y="12042775"/>
                <a:ext cx="2728114" cy="888999"/>
              </a:xfrm>
              <a:prstGeom prst="rect">
                <a:avLst/>
              </a:prstGeom>
            </xdr:spPr>
          </xdr:pic>
          <xdr:pic>
            <xdr:nvPicPr>
              <xdr:cNvPr id="71" name="Image 70">
                <a:extLst>
                  <a:ext uri="{FF2B5EF4-FFF2-40B4-BE49-F238E27FC236}">
                    <a16:creationId xmlns:a16="http://schemas.microsoft.com/office/drawing/2014/main" id="{00000000-0008-0000-0A00-000047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/>
              <a:stretch>
                <a:fillRect/>
              </a:stretch>
            </xdr:blipFill>
            <xdr:spPr>
              <a:xfrm>
                <a:off x="36470664" y="13222061"/>
                <a:ext cx="2718361" cy="705529"/>
              </a:xfrm>
              <a:prstGeom prst="rect">
                <a:avLst/>
              </a:prstGeom>
            </xdr:spPr>
          </xdr:pic>
          <xdr:sp macro="" textlink="">
            <xdr:nvSpPr>
              <xdr:cNvPr id="72" name="ZoneTexte 71">
                <a:extLst>
                  <a:ext uri="{FF2B5EF4-FFF2-40B4-BE49-F238E27FC236}">
                    <a16:creationId xmlns:a16="http://schemas.microsoft.com/office/drawing/2014/main" id="{00000000-0008-0000-0A00-000048000000}"/>
                  </a:ext>
                </a:extLst>
              </xdr:cNvPr>
              <xdr:cNvSpPr txBox="1"/>
            </xdr:nvSpPr>
            <xdr:spPr>
              <a:xfrm>
                <a:off x="33085313" y="12475485"/>
                <a:ext cx="3630387" cy="214202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l"/>
                <a:r>
                  <a:rPr lang="fr-FR" sz="1200" baseline="0">
                    <a:effectLst/>
                  </a:rPr>
                  <a:t>Montage points main à droite et gauche de l'étiquette de marque.</a:t>
                </a:r>
              </a:p>
              <a:p>
                <a:r>
                  <a:rPr lang="fr-FR" sz="1200">
                    <a:effectLst/>
                  </a:rPr>
                  <a:t>Fil ton/ton de la griffe Vanessa Bruno.</a:t>
                </a:r>
              </a:p>
              <a:p>
                <a:endParaRPr lang="fr-FR" sz="1200">
                  <a:effectLst/>
                </a:endParaRPr>
              </a:p>
              <a:p>
                <a:r>
                  <a:rPr lang="fr-FR" sz="1200">
                    <a:effectLst/>
                  </a:rPr>
                  <a:t>Hand stitches</a:t>
                </a:r>
                <a:r>
                  <a:rPr lang="fr-FR" sz="1200" baseline="0">
                    <a:effectLst/>
                  </a:rPr>
                  <a:t> placed on right and left of the brand label.</a:t>
                </a: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fr-FR" sz="1200" baseline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Thread color tone on tone with Vanessa Bruno label</a:t>
                </a:r>
                <a:endParaRPr lang="fr-FR" sz="1200">
                  <a:effectLst/>
                </a:endParaRPr>
              </a:p>
            </xdr:txBody>
          </xdr:sp>
        </xdr:grpSp>
        <xdr:sp macro="" textlink="">
          <xdr:nvSpPr>
            <xdr:cNvPr id="67" name="ZoneTexte 66">
              <a:extLst>
                <a:ext uri="{FF2B5EF4-FFF2-40B4-BE49-F238E27FC236}">
                  <a16:creationId xmlns:a16="http://schemas.microsoft.com/office/drawing/2014/main" id="{00000000-0008-0000-0A00-000043000000}"/>
                </a:ext>
              </a:extLst>
            </xdr:cNvPr>
            <xdr:cNvSpPr txBox="1"/>
          </xdr:nvSpPr>
          <xdr:spPr>
            <a:xfrm>
              <a:off x="13392832" y="14299408"/>
              <a:ext cx="6321881" cy="11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l"/>
              <a:r>
                <a:rPr lang="fr-FR" sz="1200" baseline="0">
                  <a:effectLst/>
                </a:rPr>
                <a:t>Le hangtag est attaché avec un sceau en coton et plastique autour de l'étiquette de marque.</a:t>
              </a:r>
            </a:p>
            <a:p>
              <a:pPr algn="l"/>
              <a:r>
                <a:rPr lang="fr-FR" sz="1200" baseline="0">
                  <a:effectLst/>
                </a:rPr>
                <a:t>L'étiquette de marque est placé à 2 cm du milieu dos côté gauche au porté.</a:t>
              </a:r>
            </a:p>
            <a:p>
              <a:pPr algn="l"/>
              <a:endParaRPr lang="fr-FR" sz="1200" baseline="0">
                <a:effectLst/>
              </a:endParaRPr>
            </a:p>
            <a:p>
              <a:pPr algn="l"/>
              <a:r>
                <a:rPr lang="fr-FR" sz="1200" baseline="0">
                  <a:effectLst/>
                </a:rPr>
                <a:t>The hangtag is attached with cotton and platic lock around the brand label.</a:t>
              </a:r>
            </a:p>
            <a:p>
              <a:pPr algn="l"/>
              <a:r>
                <a:rPr lang="fr-FR" sz="1200" baseline="0">
                  <a:effectLst/>
                </a:rPr>
                <a:t>The brand label is placed from 2 cm on left (weared) of middle back.</a:t>
              </a:r>
              <a:endParaRPr lang="fr-FR" sz="1200">
                <a:effectLst/>
              </a:endParaRPr>
            </a:p>
          </xdr:txBody>
        </xdr:sp>
      </xdr:grpSp>
      <xdr:grpSp>
        <xdr:nvGrpSpPr>
          <xdr:cNvPr id="61" name="Groupe 60">
            <a:extLst>
              <a:ext uri="{FF2B5EF4-FFF2-40B4-BE49-F238E27FC236}">
                <a16:creationId xmlns:a16="http://schemas.microsoft.com/office/drawing/2014/main" id="{00000000-0008-0000-0A00-00003D000000}"/>
              </a:ext>
            </a:extLst>
          </xdr:cNvPr>
          <xdr:cNvGrpSpPr/>
        </xdr:nvGrpSpPr>
        <xdr:grpSpPr>
          <a:xfrm>
            <a:off x="27551062" y="15795625"/>
            <a:ext cx="4486319" cy="4364299"/>
            <a:chOff x="27551062" y="15795625"/>
            <a:chExt cx="4486319" cy="4364299"/>
          </a:xfrm>
        </xdr:grpSpPr>
        <xdr:grpSp>
          <xdr:nvGrpSpPr>
            <xdr:cNvPr id="62" name="Groupe 61">
              <a:extLst>
                <a:ext uri="{FF2B5EF4-FFF2-40B4-BE49-F238E27FC236}">
                  <a16:creationId xmlns:a16="http://schemas.microsoft.com/office/drawing/2014/main" id="{00000000-0008-0000-0A00-00003E000000}"/>
                </a:ext>
              </a:extLst>
            </xdr:cNvPr>
            <xdr:cNvGrpSpPr/>
          </xdr:nvGrpSpPr>
          <xdr:grpSpPr>
            <a:xfrm>
              <a:off x="27551062" y="15795625"/>
              <a:ext cx="4486319" cy="4364299"/>
              <a:chOff x="27540856" y="15584714"/>
              <a:chExt cx="4486319" cy="4275853"/>
            </a:xfrm>
          </xdr:grpSpPr>
          <xdr:pic>
            <xdr:nvPicPr>
              <xdr:cNvPr id="64" name="Image 63">
                <a:extLst>
                  <a:ext uri="{FF2B5EF4-FFF2-40B4-BE49-F238E27FC236}">
                    <a16:creationId xmlns:a16="http://schemas.microsoft.com/office/drawing/2014/main" id="{00000000-0008-0000-0A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3"/>
              <a:srcRect t="4359"/>
              <a:stretch/>
            </xdr:blipFill>
            <xdr:spPr>
              <a:xfrm>
                <a:off x="27540856" y="15584714"/>
                <a:ext cx="4486319" cy="4275853"/>
              </a:xfrm>
              <a:prstGeom prst="rect">
                <a:avLst/>
              </a:prstGeom>
            </xdr:spPr>
          </xdr:pic>
          <xdr:cxnSp macro="">
            <xdr:nvCxnSpPr>
              <xdr:cNvPr id="65" name="Connecteur droit avec flèche 64">
                <a:extLst>
                  <a:ext uri="{FF2B5EF4-FFF2-40B4-BE49-F238E27FC236}">
                    <a16:creationId xmlns:a16="http://schemas.microsoft.com/office/drawing/2014/main" id="{00000000-0008-0000-0A00-000041000000}"/>
                  </a:ext>
                </a:extLst>
              </xdr:cNvPr>
              <xdr:cNvCxnSpPr/>
            </xdr:nvCxnSpPr>
            <xdr:spPr>
              <a:xfrm flipV="1">
                <a:off x="29704393" y="16887720"/>
                <a:ext cx="722539" cy="406959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headEnd type="triangle"/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63" name="ZoneTexte 62">
              <a:extLst>
                <a:ext uri="{FF2B5EF4-FFF2-40B4-BE49-F238E27FC236}">
                  <a16:creationId xmlns:a16="http://schemas.microsoft.com/office/drawing/2014/main" id="{00000000-0008-0000-0A00-00003F000000}"/>
                </a:ext>
              </a:extLst>
            </xdr:cNvPr>
            <xdr:cNvSpPr txBox="1"/>
          </xdr:nvSpPr>
          <xdr:spPr>
            <a:xfrm rot="19860228">
              <a:off x="29949774" y="17253744"/>
              <a:ext cx="493569" cy="26373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>
                  <a:solidFill>
                    <a:srgbClr val="FF0000"/>
                  </a:solidFill>
                </a:rPr>
                <a:t>2 CM</a:t>
              </a:r>
            </a:p>
          </xdr:txBody>
        </xdr:sp>
      </xdr:grpSp>
    </xdr:grpSp>
    <xdr:clientData/>
  </xdr:twoCellAnchor>
  <xdr:twoCellAnchor editAs="oneCell">
    <xdr:from>
      <xdr:col>8</xdr:col>
      <xdr:colOff>81642</xdr:colOff>
      <xdr:row>6</xdr:row>
      <xdr:rowOff>137062</xdr:rowOff>
    </xdr:from>
    <xdr:to>
      <xdr:col>13</xdr:col>
      <xdr:colOff>95495</xdr:colOff>
      <xdr:row>21</xdr:row>
      <xdr:rowOff>95002</xdr:rowOff>
    </xdr:to>
    <xdr:pic>
      <xdr:nvPicPr>
        <xdr:cNvPr id="76" name="Image 75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13071" y="1320883"/>
          <a:ext cx="3823853" cy="2407226"/>
        </a:xfrm>
        <a:prstGeom prst="rect">
          <a:avLst/>
        </a:prstGeom>
      </xdr:spPr>
    </xdr:pic>
    <xdr:clientData/>
  </xdr:twoCellAnchor>
  <xdr:twoCellAnchor>
    <xdr:from>
      <xdr:col>8</xdr:col>
      <xdr:colOff>81642</xdr:colOff>
      <xdr:row>6</xdr:row>
      <xdr:rowOff>81642</xdr:rowOff>
    </xdr:from>
    <xdr:to>
      <xdr:col>15</xdr:col>
      <xdr:colOff>1245424</xdr:colOff>
      <xdr:row>22</xdr:row>
      <xdr:rowOff>25731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SpPr/>
      </xdr:nvSpPr>
      <xdr:spPr>
        <a:xfrm>
          <a:off x="6613071" y="1265463"/>
          <a:ext cx="6280067" cy="2556661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13</xdr:col>
      <xdr:colOff>568630</xdr:colOff>
      <xdr:row>11</xdr:row>
      <xdr:rowOff>3998</xdr:rowOff>
    </xdr:from>
    <xdr:ext cx="1625830" cy="1313373"/>
    <xdr:sp macro="" textlink="">
      <xdr:nvSpPr>
        <xdr:cNvPr id="78" name="ZoneTexte 77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SpPr txBox="1"/>
      </xdr:nvSpPr>
      <xdr:spPr>
        <a:xfrm>
          <a:off x="10910059" y="2004248"/>
          <a:ext cx="1625830" cy="131337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fr-FR" sz="1400" b="1" u="none">
              <a:solidFill>
                <a:sysClr val="windowText" lastClr="000000"/>
              </a:solidFill>
            </a:rPr>
            <a:t>For shirts</a:t>
          </a:r>
          <a:r>
            <a:rPr lang="fr-FR" sz="1400" b="1" u="none" baseline="0">
              <a:solidFill>
                <a:sysClr val="windowText" lastClr="000000"/>
              </a:solidFill>
            </a:rPr>
            <a:t> &amp; tops</a:t>
          </a:r>
          <a:r>
            <a:rPr lang="fr-FR" sz="1400" b="1" u="none">
              <a:solidFill>
                <a:sysClr val="windowText" lastClr="000000"/>
              </a:solidFill>
            </a:rPr>
            <a:t> /</a:t>
          </a:r>
        </a:p>
        <a:p>
          <a:pPr algn="ctr"/>
          <a:r>
            <a:rPr lang="fr-FR" sz="1400" b="1" u="none">
              <a:solidFill>
                <a:sysClr val="windowText" lastClr="000000"/>
              </a:solidFill>
            </a:rPr>
            <a:t>Pour</a:t>
          </a:r>
          <a:r>
            <a:rPr lang="fr-FR" sz="1400" b="1" u="none" baseline="0">
              <a:solidFill>
                <a:sysClr val="windowText" lastClr="000000"/>
              </a:solidFill>
            </a:rPr>
            <a:t> chemises et tops</a:t>
          </a:r>
          <a:endParaRPr lang="fr-FR" sz="1400" b="1" u="none">
            <a:solidFill>
              <a:sysClr val="windowText" lastClr="000000"/>
            </a:solidFill>
          </a:endParaRPr>
        </a:p>
        <a:p>
          <a:pPr algn="ctr"/>
          <a:endParaRPr lang="fr-FR" sz="800" b="1" u="none">
            <a:solidFill>
              <a:sysClr val="windowText" lastClr="000000"/>
            </a:solidFill>
          </a:endParaRPr>
        </a:p>
        <a:p>
          <a:pPr algn="ctr"/>
          <a:r>
            <a:rPr lang="fr-FR" sz="1400" b="1" u="none">
              <a:solidFill>
                <a:srgbClr val="FF0000"/>
              </a:solidFill>
            </a:rPr>
            <a:t>15-20cm</a:t>
          </a:r>
          <a:r>
            <a:rPr lang="fr-FR" sz="1400" b="1" u="none" baseline="0">
              <a:solidFill>
                <a:srgbClr val="FF0000"/>
              </a:solidFill>
            </a:rPr>
            <a:t> from bottom</a:t>
          </a:r>
          <a:endParaRPr lang="fr-FR" sz="1400" b="1" u="none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111580</xdr:colOff>
      <xdr:row>7</xdr:row>
      <xdr:rowOff>63274</xdr:rowOff>
    </xdr:from>
    <xdr:to>
      <xdr:col>7</xdr:col>
      <xdr:colOff>1261047</xdr:colOff>
      <xdr:row>34</xdr:row>
      <xdr:rowOff>157994</xdr:rowOff>
    </xdr:to>
    <xdr:grpSp>
      <xdr:nvGrpSpPr>
        <xdr:cNvPr id="73" name="Groupe 72"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GrpSpPr/>
      </xdr:nvGrpSpPr>
      <xdr:grpSpPr>
        <a:xfrm>
          <a:off x="117676" y="1385591"/>
          <a:ext cx="6668678" cy="4352462"/>
          <a:chOff x="26455689" y="1262064"/>
          <a:chExt cx="6333788" cy="4571999"/>
        </a:xfrm>
      </xdr:grpSpPr>
      <xdr:sp macro="" textlink="">
        <xdr:nvSpPr>
          <xdr:cNvPr id="75" name="ZoneTexte 74">
            <a:extLst>
              <a:ext uri="{FF2B5EF4-FFF2-40B4-BE49-F238E27FC236}">
                <a16:creationId xmlns:a16="http://schemas.microsoft.com/office/drawing/2014/main" id="{00000000-0008-0000-0A00-00004B000000}"/>
              </a:ext>
            </a:extLst>
          </xdr:cNvPr>
          <xdr:cNvSpPr txBox="1"/>
        </xdr:nvSpPr>
        <xdr:spPr>
          <a:xfrm>
            <a:off x="26503314" y="1559608"/>
            <a:ext cx="3072925" cy="120559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r>
              <a:rPr lang="fr-FR" sz="1100" b="1" u="sng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For shirts</a:t>
            </a:r>
            <a:r>
              <a:rPr lang="fr-FR" sz="1100" b="1" u="sng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and top / Pour chemises et tops :</a:t>
            </a:r>
            <a:endParaRPr lang="fr-FR">
              <a:effectLst/>
            </a:endParaRPr>
          </a:p>
          <a:p>
            <a:pPr algn="l"/>
            <a:r>
              <a:rPr lang="fr-FR" sz="1200" b="1" u="none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Ref. : VBR WL 0002</a:t>
            </a:r>
            <a:r>
              <a:rPr lang="fr-FR" sz="1200" b="1" u="none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/ Dimension: 15x70mm</a:t>
            </a:r>
            <a:endParaRPr lang="fr-FR" sz="1200" b="1" u="none">
              <a:solidFill>
                <a:sysClr val="windowText" lastClr="000000"/>
              </a:solidFill>
            </a:endParaRPr>
          </a:p>
        </xdr:txBody>
      </xdr:sp>
      <xdr:pic>
        <xdr:nvPicPr>
          <xdr:cNvPr id="79" name="Image 78">
            <a:extLst>
              <a:ext uri="{FF2B5EF4-FFF2-40B4-BE49-F238E27FC236}">
                <a16:creationId xmlns:a16="http://schemas.microsoft.com/office/drawing/2014/main" id="{00000000-0008-0000-0A00-00004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9821084" y="1262064"/>
            <a:ext cx="2740264" cy="872170"/>
          </a:xfrm>
          <a:prstGeom prst="rect">
            <a:avLst/>
          </a:prstGeom>
        </xdr:spPr>
      </xdr:pic>
      <xdr:sp macro="" textlink="">
        <xdr:nvSpPr>
          <xdr:cNvPr id="80" name="ZoneTexte 79">
            <a:extLst>
              <a:ext uri="{FF2B5EF4-FFF2-40B4-BE49-F238E27FC236}">
                <a16:creationId xmlns:a16="http://schemas.microsoft.com/office/drawing/2014/main" id="{00000000-0008-0000-0A00-000050000000}"/>
              </a:ext>
            </a:extLst>
          </xdr:cNvPr>
          <xdr:cNvSpPr txBox="1"/>
        </xdr:nvSpPr>
        <xdr:spPr>
          <a:xfrm>
            <a:off x="26455689" y="2616883"/>
            <a:ext cx="3630387" cy="21980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aseline="0">
                <a:effectLst/>
              </a:rPr>
              <a:t>Montage points main à droite et gauche de l'étiquette de marque.</a:t>
            </a:r>
          </a:p>
          <a:p>
            <a:r>
              <a:rPr lang="fr-FR" sz="1200">
                <a:effectLst/>
              </a:rPr>
              <a:t>Fil ton/ton de la griffe Vanessa Bruno.</a:t>
            </a:r>
          </a:p>
          <a:p>
            <a:endParaRPr lang="fr-FR" sz="1200">
              <a:effectLst/>
            </a:endParaRPr>
          </a:p>
          <a:p>
            <a:r>
              <a:rPr lang="fr-FR" sz="1200">
                <a:effectLst/>
              </a:rPr>
              <a:t>Hand stitches</a:t>
            </a:r>
            <a:r>
              <a:rPr lang="fr-FR" sz="1200" baseline="0">
                <a:effectLst/>
              </a:rPr>
              <a:t> placed on right and left of the brand label.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FR" sz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Thread color tone on tone with Vanessa Bruno label</a:t>
            </a:r>
            <a:endParaRPr lang="fr-FR" sz="1200">
              <a:effectLst/>
            </a:endParaRPr>
          </a:p>
        </xdr:txBody>
      </xdr:sp>
      <xdr:pic>
        <xdr:nvPicPr>
          <xdr:cNvPr id="81" name="Image 80">
            <a:extLst>
              <a:ext uri="{FF2B5EF4-FFF2-40B4-BE49-F238E27FC236}">
                <a16:creationId xmlns:a16="http://schemas.microsoft.com/office/drawing/2014/main" id="{00000000-0008-0000-0A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0044013" y="2333398"/>
            <a:ext cx="2728114" cy="888999"/>
          </a:xfrm>
          <a:prstGeom prst="rect">
            <a:avLst/>
          </a:prstGeom>
        </xdr:spPr>
      </xdr:pic>
      <xdr:pic>
        <xdr:nvPicPr>
          <xdr:cNvPr id="82" name="Image 81">
            <a:extLst>
              <a:ext uri="{FF2B5EF4-FFF2-40B4-BE49-F238E27FC236}">
                <a16:creationId xmlns:a16="http://schemas.microsoft.com/office/drawing/2014/main" id="{00000000-0008-0000-0A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9926765" y="3512684"/>
            <a:ext cx="2718361" cy="705529"/>
          </a:xfrm>
          <a:prstGeom prst="rect">
            <a:avLst/>
          </a:prstGeom>
        </xdr:spPr>
      </xdr:pic>
      <xdr:sp macro="" textlink="">
        <xdr:nvSpPr>
          <xdr:cNvPr id="83" name="ZoneTexte 82">
            <a:extLst>
              <a:ext uri="{FF2B5EF4-FFF2-40B4-BE49-F238E27FC236}">
                <a16:creationId xmlns:a16="http://schemas.microsoft.com/office/drawing/2014/main" id="{00000000-0008-0000-0A00-000053000000}"/>
              </a:ext>
            </a:extLst>
          </xdr:cNvPr>
          <xdr:cNvSpPr txBox="1"/>
        </xdr:nvSpPr>
        <xdr:spPr>
          <a:xfrm>
            <a:off x="26467596" y="4412799"/>
            <a:ext cx="6321881" cy="14212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lang="fr-FR" sz="1200" baseline="0">
                <a:effectLst/>
              </a:rPr>
              <a:t>Le hangtag est attaché avec un sceau en coton et plastique autour de l'étiquette de marque.</a:t>
            </a:r>
          </a:p>
          <a:p>
            <a:pPr algn="l"/>
            <a:r>
              <a:rPr lang="fr-FR" sz="1200" baseline="0">
                <a:effectLst/>
              </a:rPr>
              <a:t>L'étiquette de marque est placé en dessous du pied de col milieu dos.</a:t>
            </a:r>
          </a:p>
          <a:p>
            <a:pPr algn="l"/>
            <a:endParaRPr lang="fr-FR" sz="1200" baseline="0">
              <a:effectLst/>
            </a:endParaRPr>
          </a:p>
          <a:p>
            <a:pPr algn="l"/>
            <a:r>
              <a:rPr lang="fr-FR" sz="1200" baseline="0">
                <a:effectLst/>
              </a:rPr>
              <a:t>The hangtag is attached with cotton and platic lock around the brand label.</a:t>
            </a:r>
          </a:p>
          <a:p>
            <a:pPr algn="l"/>
            <a:r>
              <a:rPr lang="fr-FR" sz="1200" baseline="0">
                <a:effectLst/>
              </a:rPr>
              <a:t>The brand label is placed below the middle back collar stand.</a:t>
            </a:r>
            <a:endParaRPr lang="fr-FR" sz="1200">
              <a:effectLst/>
            </a:endParaRPr>
          </a:p>
        </xdr:txBody>
      </xdr:sp>
    </xdr:grpSp>
    <xdr:clientData/>
  </xdr:twoCellAnchor>
  <xdr:twoCellAnchor editAs="oneCell">
    <xdr:from>
      <xdr:col>0</xdr:col>
      <xdr:colOff>361950</xdr:colOff>
      <xdr:row>37</xdr:row>
      <xdr:rowOff>133350</xdr:rowOff>
    </xdr:from>
    <xdr:to>
      <xdr:col>7</xdr:col>
      <xdr:colOff>895350</xdr:colOff>
      <xdr:row>44</xdr:row>
      <xdr:rowOff>295275</xdr:rowOff>
    </xdr:to>
    <xdr:pic>
      <xdr:nvPicPr>
        <xdr:cNvPr id="84" name="Image 83">
          <a:extLst>
            <a:ext uri="{FF2B5EF4-FFF2-40B4-BE49-F238E27FC236}">
              <a16:creationId xmlns:a16="http://schemas.microsoft.com/office/drawing/2014/main" id="{56921542-1992-C2B5-2A89-2AC8941C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6334125"/>
          <a:ext cx="5724525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TELIER\Victoria\BASES\02.%20VESTE\NOUVEAU%20DT%20BASE%20VESTE.xlsx" TargetMode="External"/><Relationship Id="rId1" Type="http://schemas.openxmlformats.org/officeDocument/2006/relationships/externalLinkPath" Target="/ATELIER/Victoria/BASES/02.%20VESTE/NOUVEAU%20DT%20BASE%20VES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TELIER\Victoria\BASES\09.%20TOP\DT%20BASE%20TOP.xlsx" TargetMode="External"/><Relationship Id="rId1" Type="http://schemas.openxmlformats.org/officeDocument/2006/relationships/externalLinkPath" Target="/ATELIER/Victoria/BASES/09.%20TOP/DT%20BASE%20T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QUIS"/>
      <sheetName val="NOM VALORISATION"/>
      <sheetName val="FICHE COMMENTAIRES"/>
      <sheetName val="Fiche technique"/>
      <sheetName val="Mesure&amp;Grada - 36"/>
      <sheetName val="Mesure&amp;Grada - S"/>
      <sheetName val="Prise Mesures "/>
      <sheetName val="BOM"/>
      <sheetName val="FCM "/>
      <sheetName val="Labelling "/>
      <sheetName val="Mesure&amp;Grada - XS.S M.L"/>
    </sheetNames>
    <sheetDataSet>
      <sheetData sheetId="0">
        <row r="2">
          <cell r="G2" t="str">
            <v xml:space="preserve">Fabricant: </v>
          </cell>
        </row>
      </sheetData>
      <sheetData sheetId="1"/>
      <sheetData sheetId="2"/>
      <sheetData sheetId="3"/>
      <sheetData sheetId="4"/>
      <sheetData sheetId="5"/>
      <sheetData sheetId="6">
        <row r="7">
          <cell r="A7" t="str">
            <v>A</v>
          </cell>
        </row>
        <row r="11">
          <cell r="C11">
            <v>0.5</v>
          </cell>
        </row>
        <row r="12">
          <cell r="C12">
            <v>0.5</v>
          </cell>
        </row>
        <row r="13">
          <cell r="C13">
            <v>0.5</v>
          </cell>
        </row>
        <row r="14">
          <cell r="C14">
            <v>0.2</v>
          </cell>
        </row>
        <row r="16">
          <cell r="C16">
            <v>0.5</v>
          </cell>
        </row>
        <row r="17">
          <cell r="C17">
            <v>0.5</v>
          </cell>
        </row>
        <row r="18">
          <cell r="C18">
            <v>0</v>
          </cell>
        </row>
        <row r="19">
          <cell r="C19">
            <v>0.5</v>
          </cell>
        </row>
        <row r="20">
          <cell r="C20">
            <v>0.5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0.5</v>
          </cell>
        </row>
        <row r="25">
          <cell r="C25">
            <v>0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QUIS "/>
      <sheetName val="FICHE NORMALISATION"/>
      <sheetName val="FICHE COMMENTAIRES"/>
      <sheetName val="NOM VALORISATION"/>
      <sheetName val="Fiche technique "/>
      <sheetName val="Mesure&amp;Grada - 36"/>
      <sheetName val="Mesure&amp;Grada - S"/>
      <sheetName val="Mesure&amp;Grada - XS.S M.L"/>
      <sheetName val="Prise Mesures "/>
      <sheetName val="BOM"/>
      <sheetName val="FCM"/>
      <sheetName val="Labelling "/>
    </sheetNames>
    <sheetDataSet>
      <sheetData sheetId="0">
        <row r="2">
          <cell r="G2" t="str">
            <v xml:space="preserve">Fabricant: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A7" t="str">
            <v>A</v>
          </cell>
          <cell r="C7">
            <v>0.5</v>
          </cell>
        </row>
        <row r="8">
          <cell r="A8" t="str">
            <v>B</v>
          </cell>
          <cell r="C8">
            <v>0.5</v>
          </cell>
        </row>
        <row r="9">
          <cell r="A9" t="str">
            <v>C</v>
          </cell>
          <cell r="C9">
            <v>0.2</v>
          </cell>
        </row>
        <row r="10">
          <cell r="A10" t="str">
            <v>D</v>
          </cell>
          <cell r="C10">
            <v>0.2</v>
          </cell>
        </row>
        <row r="11">
          <cell r="A11" t="str">
            <v>D1</v>
          </cell>
          <cell r="C11">
            <v>0</v>
          </cell>
        </row>
        <row r="12">
          <cell r="A12" t="str">
            <v>E</v>
          </cell>
          <cell r="C12">
            <v>0.5</v>
          </cell>
        </row>
        <row r="13">
          <cell r="A13" t="str">
            <v>F</v>
          </cell>
          <cell r="C13" t="str">
            <v>0,5</v>
          </cell>
        </row>
        <row r="14">
          <cell r="A14" t="str">
            <v>G</v>
          </cell>
          <cell r="C14">
            <v>0.5</v>
          </cell>
        </row>
        <row r="15">
          <cell r="A15" t="str">
            <v>H</v>
          </cell>
          <cell r="C15">
            <v>0.2</v>
          </cell>
        </row>
        <row r="16">
          <cell r="A16" t="str">
            <v>I</v>
          </cell>
          <cell r="C16">
            <v>0.5</v>
          </cell>
        </row>
        <row r="17">
          <cell r="A17" t="str">
            <v>J</v>
          </cell>
          <cell r="C17">
            <v>0.2</v>
          </cell>
        </row>
        <row r="18">
          <cell r="A18" t="str">
            <v>K</v>
          </cell>
          <cell r="C18">
            <v>0.2</v>
          </cell>
        </row>
        <row r="19">
          <cell r="A19" t="str">
            <v>L</v>
          </cell>
          <cell r="C19">
            <v>0.5</v>
          </cell>
        </row>
        <row r="20">
          <cell r="A20" t="str">
            <v>M</v>
          </cell>
          <cell r="C20">
            <v>0.5</v>
          </cell>
        </row>
        <row r="21">
          <cell r="A21" t="str">
            <v>N</v>
          </cell>
          <cell r="C21">
            <v>0</v>
          </cell>
        </row>
        <row r="22">
          <cell r="A22" t="str">
            <v>O</v>
          </cell>
          <cell r="C22">
            <v>1</v>
          </cell>
        </row>
        <row r="23">
          <cell r="A23" t="str">
            <v>P</v>
          </cell>
          <cell r="C23">
            <v>1</v>
          </cell>
        </row>
        <row r="24">
          <cell r="A24" t="str">
            <v>Q</v>
          </cell>
          <cell r="C24">
            <v>1</v>
          </cell>
        </row>
        <row r="25">
          <cell r="A25" t="str">
            <v>R</v>
          </cell>
          <cell r="C25">
            <v>0.5</v>
          </cell>
        </row>
        <row r="26">
          <cell r="A26" t="str">
            <v>S</v>
          </cell>
          <cell r="C26">
            <v>0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401D-D8B7-484D-930B-549D67545E78}">
  <dimension ref="A1:AG97"/>
  <sheetViews>
    <sheetView view="pageBreakPreview" zoomScale="80" zoomScaleNormal="80" zoomScaleSheetLayoutView="80" workbookViewId="0">
      <selection activeCell="I3" sqref="I3:P4"/>
    </sheetView>
  </sheetViews>
  <sheetFormatPr baseColWidth="10" defaultColWidth="11.42578125" defaultRowHeight="12.75" x14ac:dyDescent="0.2"/>
  <cols>
    <col min="1" max="1" width="8.7109375" style="4" bestFit="1" customWidth="1"/>
    <col min="2" max="2" width="11.5703125" style="4" customWidth="1"/>
    <col min="3" max="3" width="9.28515625" style="4" customWidth="1"/>
    <col min="4" max="4" width="10.5703125" style="4" customWidth="1"/>
    <col min="5" max="5" width="10.85546875" style="4" customWidth="1"/>
    <col min="6" max="6" width="14.28515625" style="4" customWidth="1"/>
    <col min="7" max="7" width="20.42578125" style="4" customWidth="1"/>
    <col min="8" max="8" width="23" style="4" customWidth="1"/>
    <col min="9" max="10" width="11.42578125" style="4"/>
    <col min="11" max="13" width="11.85546875" style="4" customWidth="1"/>
    <col min="14" max="15" width="13.140625" style="4" customWidth="1"/>
    <col min="16" max="16" width="24.140625" style="4" customWidth="1"/>
    <col min="17" max="20" width="11.42578125" style="4"/>
    <col min="21" max="21" width="12.5703125" style="4" customWidth="1"/>
    <col min="22" max="22" width="13.42578125" style="4" customWidth="1"/>
    <col min="23" max="23" width="11.42578125" style="4"/>
    <col min="24" max="24" width="24.42578125" style="4" customWidth="1"/>
    <col min="25" max="16384" width="11.42578125" style="4"/>
  </cols>
  <sheetData>
    <row r="1" spans="1:33" s="5" customFormat="1" ht="0.75" customHeight="1" thickBot="1" x14ac:dyDescent="0.3">
      <c r="A1" s="4"/>
      <c r="B1" s="4"/>
      <c r="C1" s="4"/>
      <c r="D1" s="4"/>
      <c r="E1" s="4"/>
      <c r="F1" s="4"/>
      <c r="G1" s="4"/>
    </row>
    <row r="2" spans="1:33" ht="16.5" customHeight="1" x14ac:dyDescent="0.25">
      <c r="A2" s="368" t="s">
        <v>29</v>
      </c>
      <c r="B2" s="369"/>
      <c r="C2" s="370"/>
      <c r="D2" s="371" t="s">
        <v>32</v>
      </c>
      <c r="E2" s="371"/>
      <c r="F2" s="372"/>
      <c r="G2" s="373" t="s">
        <v>178</v>
      </c>
      <c r="H2" s="374"/>
      <c r="I2" s="375"/>
      <c r="J2" s="375"/>
      <c r="K2" s="375"/>
      <c r="L2" s="375"/>
      <c r="M2" s="375"/>
      <c r="N2" s="375"/>
      <c r="O2" s="355"/>
      <c r="P2" s="355"/>
      <c r="Q2" s="375"/>
      <c r="R2" s="375"/>
      <c r="S2" s="375"/>
      <c r="T2" s="375"/>
      <c r="U2" s="375"/>
      <c r="V2" s="375"/>
      <c r="W2" s="355"/>
      <c r="X2" s="355"/>
    </row>
    <row r="3" spans="1:33" ht="12.75" customHeight="1" x14ac:dyDescent="0.2">
      <c r="A3" s="356" t="s">
        <v>77</v>
      </c>
      <c r="B3" s="357"/>
      <c r="C3" s="357"/>
      <c r="D3" s="357"/>
      <c r="E3" s="357"/>
      <c r="F3" s="357"/>
      <c r="G3" s="357"/>
      <c r="H3" s="358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</row>
    <row r="4" spans="1:33" ht="14.25" customHeight="1" x14ac:dyDescent="0.2">
      <c r="A4" s="359"/>
      <c r="B4" s="360"/>
      <c r="C4" s="360"/>
      <c r="D4" s="360"/>
      <c r="E4" s="360"/>
      <c r="F4" s="360"/>
      <c r="G4" s="357"/>
      <c r="H4" s="361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</row>
    <row r="5" spans="1:33" ht="30" customHeight="1" x14ac:dyDescent="0.2">
      <c r="A5" s="363"/>
      <c r="B5" s="364"/>
      <c r="C5" s="365" t="s">
        <v>185</v>
      </c>
      <c r="D5" s="366"/>
      <c r="E5" s="365" t="s">
        <v>177</v>
      </c>
      <c r="F5" s="366"/>
      <c r="G5" s="365" t="s">
        <v>168</v>
      </c>
      <c r="H5" s="367"/>
      <c r="I5" s="353"/>
      <c r="J5" s="353"/>
      <c r="K5" s="353"/>
      <c r="L5" s="353"/>
      <c r="M5" s="353"/>
      <c r="N5" s="354"/>
      <c r="O5" s="354"/>
      <c r="P5" s="141"/>
      <c r="Q5" s="353"/>
      <c r="R5" s="353"/>
      <c r="S5" s="353"/>
      <c r="T5" s="353"/>
      <c r="U5" s="353"/>
      <c r="V5" s="354"/>
      <c r="W5" s="354"/>
      <c r="X5" s="141"/>
    </row>
    <row r="6" spans="1:33" ht="30" customHeight="1" thickBot="1" x14ac:dyDescent="0.25">
      <c r="A6" s="348" t="s">
        <v>78</v>
      </c>
      <c r="B6" s="349"/>
      <c r="C6" s="350" t="s">
        <v>39</v>
      </c>
      <c r="D6" s="351"/>
      <c r="E6" s="350" t="s">
        <v>35</v>
      </c>
      <c r="F6" s="351"/>
      <c r="G6" s="350" t="s">
        <v>41</v>
      </c>
      <c r="H6" s="352"/>
      <c r="I6" s="353"/>
      <c r="J6" s="353"/>
      <c r="K6" s="353"/>
      <c r="L6" s="353"/>
      <c r="M6" s="353"/>
      <c r="N6" s="354"/>
      <c r="O6" s="354"/>
      <c r="P6" s="141"/>
      <c r="Q6" s="353"/>
      <c r="R6" s="353"/>
      <c r="S6" s="353"/>
      <c r="T6" s="353"/>
      <c r="U6" s="353"/>
      <c r="V6" s="354"/>
      <c r="W6" s="354"/>
      <c r="X6" s="141"/>
    </row>
    <row r="7" spans="1:33" s="10" customFormat="1" ht="15" customHeight="1" x14ac:dyDescent="0.2">
      <c r="A7" s="342"/>
      <c r="B7" s="343"/>
      <c r="C7" s="343"/>
      <c r="D7" s="343"/>
      <c r="E7" s="343"/>
      <c r="F7" s="343"/>
      <c r="G7" s="343"/>
      <c r="H7" s="344"/>
    </row>
    <row r="8" spans="1:33" s="10" customFormat="1" ht="15" customHeight="1" x14ac:dyDescent="0.2">
      <c r="A8" s="342"/>
      <c r="B8" s="343"/>
      <c r="C8" s="343"/>
      <c r="D8" s="343"/>
      <c r="E8" s="343"/>
      <c r="F8" s="343"/>
      <c r="G8" s="343"/>
      <c r="H8" s="344"/>
      <c r="AF8" s="339"/>
      <c r="AG8" s="339"/>
    </row>
    <row r="9" spans="1:33" s="10" customFormat="1" ht="15" customHeight="1" x14ac:dyDescent="0.2">
      <c r="A9" s="342"/>
      <c r="B9" s="343"/>
      <c r="C9" s="343"/>
      <c r="D9" s="343"/>
      <c r="E9" s="343"/>
      <c r="F9" s="343"/>
      <c r="G9" s="343"/>
      <c r="H9" s="344"/>
      <c r="Z9" s="340"/>
      <c r="AA9" s="340"/>
      <c r="AB9" s="340"/>
      <c r="AC9" s="340"/>
      <c r="AD9" s="340"/>
      <c r="AF9" s="339"/>
      <c r="AG9" s="339"/>
    </row>
    <row r="10" spans="1:33" s="10" customFormat="1" ht="15" customHeight="1" x14ac:dyDescent="0.2">
      <c r="A10" s="342"/>
      <c r="B10" s="343"/>
      <c r="C10" s="343"/>
      <c r="D10" s="343"/>
      <c r="E10" s="343"/>
      <c r="F10" s="343"/>
      <c r="G10" s="343"/>
      <c r="H10" s="344"/>
      <c r="AF10" s="339"/>
      <c r="AG10" s="339"/>
    </row>
    <row r="11" spans="1:33" s="10" customFormat="1" ht="15" customHeight="1" x14ac:dyDescent="0.2">
      <c r="A11" s="342"/>
      <c r="B11" s="343"/>
      <c r="C11" s="343"/>
      <c r="D11" s="343"/>
      <c r="E11" s="343"/>
      <c r="F11" s="343"/>
      <c r="G11" s="343"/>
      <c r="H11" s="344"/>
      <c r="Z11" s="338"/>
      <c r="AA11" s="338"/>
      <c r="AB11" s="338"/>
      <c r="AC11" s="338"/>
      <c r="AD11" s="338"/>
      <c r="AF11" s="339"/>
      <c r="AG11" s="339"/>
    </row>
    <row r="12" spans="1:33" s="10" customFormat="1" ht="15" customHeight="1" x14ac:dyDescent="0.2">
      <c r="A12" s="342"/>
      <c r="B12" s="343"/>
      <c r="C12" s="343"/>
      <c r="D12" s="343"/>
      <c r="E12" s="343"/>
      <c r="F12" s="343"/>
      <c r="G12" s="343"/>
      <c r="H12" s="344"/>
      <c r="Z12" s="340"/>
      <c r="AA12" s="340"/>
      <c r="AB12" s="340"/>
      <c r="AC12" s="340"/>
      <c r="AD12" s="340"/>
      <c r="AE12" s="340"/>
      <c r="AF12" s="339"/>
      <c r="AG12" s="339"/>
    </row>
    <row r="13" spans="1:33" s="10" customFormat="1" ht="14.25" customHeight="1" x14ac:dyDescent="0.2">
      <c r="A13" s="342"/>
      <c r="B13" s="343"/>
      <c r="C13" s="343"/>
      <c r="D13" s="343"/>
      <c r="E13" s="343"/>
      <c r="F13" s="343"/>
      <c r="G13" s="343"/>
      <c r="H13" s="344"/>
      <c r="Z13" s="340"/>
      <c r="AA13" s="340"/>
      <c r="AB13" s="340"/>
      <c r="AC13" s="340"/>
      <c r="AD13" s="340"/>
      <c r="AE13" s="340"/>
      <c r="AF13" s="339"/>
      <c r="AG13" s="339"/>
    </row>
    <row r="14" spans="1:33" s="10" customFormat="1" ht="15" customHeight="1" x14ac:dyDescent="0.2">
      <c r="A14" s="342"/>
      <c r="B14" s="343"/>
      <c r="C14" s="343"/>
      <c r="D14" s="343"/>
      <c r="E14" s="343"/>
      <c r="F14" s="343"/>
      <c r="G14" s="343"/>
      <c r="H14" s="344"/>
      <c r="Z14" s="338"/>
      <c r="AA14" s="338"/>
      <c r="AB14" s="338"/>
      <c r="AC14" s="338"/>
      <c r="AD14" s="338"/>
      <c r="AE14" s="338"/>
      <c r="AF14" s="339"/>
      <c r="AG14" s="339"/>
    </row>
    <row r="15" spans="1:33" s="11" customFormat="1" ht="15" customHeight="1" x14ac:dyDescent="0.2">
      <c r="A15" s="342"/>
      <c r="B15" s="343"/>
      <c r="C15" s="343"/>
      <c r="D15" s="343"/>
      <c r="E15" s="343"/>
      <c r="F15" s="343"/>
      <c r="G15" s="343"/>
      <c r="H15" s="344"/>
      <c r="Z15" s="338"/>
      <c r="AA15" s="338"/>
      <c r="AB15" s="338"/>
      <c r="AC15" s="338"/>
      <c r="AD15" s="338"/>
      <c r="AE15" s="338"/>
      <c r="AF15" s="339"/>
      <c r="AG15" s="339"/>
    </row>
    <row r="16" spans="1:33" s="11" customFormat="1" ht="15" customHeight="1" x14ac:dyDescent="0.2">
      <c r="A16" s="342"/>
      <c r="B16" s="343"/>
      <c r="C16" s="343"/>
      <c r="D16" s="343"/>
      <c r="E16" s="343"/>
      <c r="F16" s="343"/>
      <c r="G16" s="343"/>
      <c r="H16" s="344"/>
      <c r="Z16" s="340"/>
      <c r="AA16" s="340"/>
      <c r="AB16" s="340"/>
      <c r="AC16" s="340"/>
      <c r="AD16" s="340"/>
      <c r="AE16" s="340"/>
      <c r="AF16" s="339"/>
      <c r="AG16" s="339"/>
    </row>
    <row r="17" spans="1:33" s="11" customFormat="1" ht="15" customHeight="1" x14ac:dyDescent="0.2">
      <c r="A17" s="342"/>
      <c r="B17" s="343"/>
      <c r="C17" s="343"/>
      <c r="D17" s="343"/>
      <c r="E17" s="343"/>
      <c r="F17" s="343"/>
      <c r="G17" s="343"/>
      <c r="H17" s="344"/>
      <c r="Z17" s="340"/>
      <c r="AA17" s="340"/>
      <c r="AB17" s="340"/>
      <c r="AC17" s="340"/>
      <c r="AD17" s="340"/>
      <c r="AE17" s="340"/>
      <c r="AF17" s="339"/>
      <c r="AG17" s="339"/>
    </row>
    <row r="18" spans="1:33" s="11" customFormat="1" ht="15" customHeight="1" x14ac:dyDescent="0.2">
      <c r="A18" s="342"/>
      <c r="B18" s="343"/>
      <c r="C18" s="343"/>
      <c r="D18" s="343"/>
      <c r="E18" s="343"/>
      <c r="F18" s="343"/>
      <c r="G18" s="343"/>
      <c r="H18" s="344"/>
      <c r="Z18" s="338"/>
      <c r="AA18" s="338"/>
      <c r="AB18" s="338"/>
      <c r="AC18" s="338"/>
      <c r="AD18" s="338"/>
      <c r="AE18" s="338"/>
      <c r="AF18" s="339"/>
      <c r="AG18" s="339"/>
    </row>
    <row r="19" spans="1:33" s="11" customFormat="1" ht="15" customHeight="1" x14ac:dyDescent="0.2">
      <c r="A19" s="342"/>
      <c r="B19" s="343"/>
      <c r="C19" s="343"/>
      <c r="D19" s="343"/>
      <c r="E19" s="343"/>
      <c r="F19" s="343"/>
      <c r="G19" s="343"/>
      <c r="H19" s="344"/>
      <c r="Z19" s="338"/>
      <c r="AA19" s="338"/>
      <c r="AB19" s="338"/>
      <c r="AC19" s="338"/>
      <c r="AD19" s="338"/>
      <c r="AE19" s="338"/>
      <c r="AF19" s="339"/>
      <c r="AG19" s="339"/>
    </row>
    <row r="20" spans="1:33" s="11" customFormat="1" ht="15" customHeight="1" x14ac:dyDescent="0.2">
      <c r="A20" s="342"/>
      <c r="B20" s="343"/>
      <c r="C20" s="343"/>
      <c r="D20" s="343"/>
      <c r="E20" s="343"/>
      <c r="F20" s="343"/>
      <c r="G20" s="343"/>
      <c r="H20" s="344"/>
      <c r="Z20" s="338"/>
      <c r="AA20" s="338"/>
      <c r="AB20" s="338"/>
      <c r="AC20" s="338"/>
      <c r="AD20" s="338"/>
      <c r="AE20" s="338"/>
      <c r="AF20" s="339"/>
      <c r="AG20" s="339"/>
    </row>
    <row r="21" spans="1:33" s="11" customFormat="1" ht="15" customHeight="1" x14ac:dyDescent="0.2">
      <c r="A21" s="342"/>
      <c r="B21" s="343"/>
      <c r="C21" s="343"/>
      <c r="D21" s="343"/>
      <c r="E21" s="343"/>
      <c r="F21" s="343"/>
      <c r="G21" s="343"/>
      <c r="H21" s="344"/>
      <c r="Z21" s="338"/>
      <c r="AA21" s="338"/>
      <c r="AB21" s="338"/>
      <c r="AC21" s="338"/>
      <c r="AD21" s="338"/>
      <c r="AE21" s="338"/>
      <c r="AF21" s="339"/>
      <c r="AG21" s="339"/>
    </row>
    <row r="22" spans="1:33" s="10" customFormat="1" ht="15" customHeight="1" x14ac:dyDescent="0.2">
      <c r="A22" s="342"/>
      <c r="B22" s="343"/>
      <c r="C22" s="343"/>
      <c r="D22" s="343"/>
      <c r="E22" s="343"/>
      <c r="F22" s="343"/>
      <c r="G22" s="343"/>
      <c r="H22" s="344"/>
      <c r="Z22" s="338"/>
      <c r="AA22" s="338"/>
      <c r="AB22" s="338"/>
      <c r="AC22" s="338"/>
      <c r="AD22" s="338"/>
      <c r="AE22" s="338"/>
      <c r="AF22" s="339"/>
      <c r="AG22" s="339"/>
    </row>
    <row r="23" spans="1:33" s="10" customFormat="1" ht="15" customHeight="1" x14ac:dyDescent="0.2">
      <c r="A23" s="342"/>
      <c r="B23" s="343"/>
      <c r="C23" s="343"/>
      <c r="D23" s="343"/>
      <c r="E23" s="343"/>
      <c r="F23" s="343"/>
      <c r="G23" s="343"/>
      <c r="H23" s="344"/>
      <c r="Z23" s="338"/>
      <c r="AA23" s="338"/>
      <c r="AB23" s="338"/>
      <c r="AC23" s="338"/>
      <c r="AD23" s="338"/>
      <c r="AE23" s="338"/>
      <c r="AF23" s="339"/>
      <c r="AG23" s="339"/>
    </row>
    <row r="24" spans="1:33" ht="15" customHeight="1" x14ac:dyDescent="0.2">
      <c r="A24" s="342"/>
      <c r="B24" s="343"/>
      <c r="C24" s="343"/>
      <c r="D24" s="343"/>
      <c r="E24" s="343"/>
      <c r="F24" s="343"/>
      <c r="G24" s="343"/>
      <c r="H24" s="344"/>
      <c r="Z24" s="338"/>
      <c r="AA24" s="338"/>
      <c r="AB24" s="338"/>
      <c r="AC24" s="338"/>
      <c r="AD24" s="338"/>
      <c r="AE24" s="338"/>
      <c r="AF24" s="339"/>
      <c r="AG24" s="339"/>
    </row>
    <row r="25" spans="1:33" s="11" customFormat="1" ht="15" customHeight="1" x14ac:dyDescent="0.2">
      <c r="A25" s="342"/>
      <c r="B25" s="343"/>
      <c r="C25" s="343"/>
      <c r="D25" s="343"/>
      <c r="E25" s="343"/>
      <c r="F25" s="343"/>
      <c r="G25" s="343"/>
      <c r="H25" s="344"/>
      <c r="Z25" s="338"/>
      <c r="AA25" s="338"/>
      <c r="AB25" s="338"/>
      <c r="AC25" s="338"/>
      <c r="AD25" s="338"/>
      <c r="AE25" s="338"/>
      <c r="AF25" s="339"/>
      <c r="AG25" s="339"/>
    </row>
    <row r="26" spans="1:33" s="11" customFormat="1" ht="15" customHeight="1" x14ac:dyDescent="0.2">
      <c r="A26" s="342"/>
      <c r="B26" s="343"/>
      <c r="C26" s="343"/>
      <c r="D26" s="343"/>
      <c r="E26" s="343"/>
      <c r="F26" s="343"/>
      <c r="G26" s="343"/>
      <c r="H26" s="344"/>
    </row>
    <row r="27" spans="1:33" s="11" customFormat="1" ht="15" customHeight="1" x14ac:dyDescent="0.2">
      <c r="A27" s="342"/>
      <c r="B27" s="343"/>
      <c r="C27" s="343"/>
      <c r="D27" s="343"/>
      <c r="E27" s="343"/>
      <c r="F27" s="343"/>
      <c r="G27" s="343"/>
      <c r="H27" s="344"/>
    </row>
    <row r="28" spans="1:33" s="11" customFormat="1" ht="15" customHeight="1" x14ac:dyDescent="0.2">
      <c r="A28" s="342"/>
      <c r="B28" s="343"/>
      <c r="C28" s="343"/>
      <c r="D28" s="343"/>
      <c r="E28" s="343"/>
      <c r="F28" s="343"/>
      <c r="G28" s="343"/>
      <c r="H28" s="344"/>
      <c r="Z28" s="338"/>
      <c r="AA28" s="338"/>
      <c r="AB28" s="338"/>
      <c r="AC28" s="338"/>
      <c r="AD28" s="338"/>
      <c r="AE28" s="338"/>
      <c r="AF28" s="339"/>
      <c r="AG28" s="339"/>
    </row>
    <row r="29" spans="1:33" s="11" customFormat="1" ht="15" customHeight="1" x14ac:dyDescent="0.2">
      <c r="A29" s="342"/>
      <c r="B29" s="343"/>
      <c r="C29" s="343"/>
      <c r="D29" s="343"/>
      <c r="E29" s="343"/>
      <c r="F29" s="343"/>
      <c r="G29" s="343"/>
      <c r="H29" s="344"/>
      <c r="Z29" s="338"/>
      <c r="AA29" s="338"/>
      <c r="AB29" s="338"/>
      <c r="AC29" s="338"/>
      <c r="AD29" s="338"/>
      <c r="AE29" s="338"/>
      <c r="AF29" s="339"/>
      <c r="AG29" s="339"/>
    </row>
    <row r="30" spans="1:33" s="11" customFormat="1" ht="15" customHeight="1" x14ac:dyDescent="0.2">
      <c r="A30" s="342"/>
      <c r="B30" s="343"/>
      <c r="C30" s="343"/>
      <c r="D30" s="343"/>
      <c r="E30" s="343"/>
      <c r="F30" s="343"/>
      <c r="G30" s="343"/>
      <c r="H30" s="344"/>
      <c r="Z30" s="340"/>
      <c r="AA30" s="340"/>
      <c r="AB30" s="340"/>
      <c r="AC30" s="340"/>
      <c r="AD30" s="340"/>
      <c r="AE30" s="340"/>
      <c r="AF30" s="339"/>
      <c r="AG30" s="339"/>
    </row>
    <row r="31" spans="1:33" s="11" customFormat="1" ht="15" customHeight="1" x14ac:dyDescent="0.2">
      <c r="A31" s="342"/>
      <c r="B31" s="343"/>
      <c r="C31" s="343"/>
      <c r="D31" s="343"/>
      <c r="E31" s="343"/>
      <c r="F31" s="343"/>
      <c r="G31" s="343"/>
      <c r="H31" s="344"/>
      <c r="Z31" s="340"/>
      <c r="AA31" s="340"/>
      <c r="AB31" s="340"/>
      <c r="AC31" s="340"/>
      <c r="AD31" s="340"/>
      <c r="AE31" s="340"/>
      <c r="AF31" s="339"/>
      <c r="AG31" s="339"/>
    </row>
    <row r="32" spans="1:33" s="11" customFormat="1" ht="15" customHeight="1" x14ac:dyDescent="0.2">
      <c r="A32" s="342"/>
      <c r="B32" s="343"/>
      <c r="C32" s="343"/>
      <c r="D32" s="343"/>
      <c r="E32" s="343"/>
      <c r="F32" s="343"/>
      <c r="G32" s="343"/>
      <c r="H32" s="344"/>
      <c r="Z32" s="338"/>
      <c r="AA32" s="338"/>
      <c r="AB32" s="338"/>
      <c r="AC32" s="338"/>
      <c r="AD32" s="338"/>
      <c r="AE32" s="338"/>
      <c r="AF32" s="339"/>
      <c r="AG32" s="339"/>
    </row>
    <row r="33" spans="1:33" s="11" customFormat="1" ht="15" customHeight="1" x14ac:dyDescent="0.2">
      <c r="A33" s="342"/>
      <c r="B33" s="343"/>
      <c r="C33" s="343"/>
      <c r="D33" s="343"/>
      <c r="E33" s="343"/>
      <c r="F33" s="343"/>
      <c r="G33" s="343"/>
      <c r="H33" s="344"/>
      <c r="Z33" s="338"/>
      <c r="AA33" s="338"/>
      <c r="AB33" s="338"/>
      <c r="AC33" s="338"/>
      <c r="AD33" s="338"/>
      <c r="AE33" s="338"/>
      <c r="AF33" s="339"/>
      <c r="AG33" s="339"/>
    </row>
    <row r="34" spans="1:33" s="11" customFormat="1" ht="15" customHeight="1" x14ac:dyDescent="0.2">
      <c r="A34" s="342"/>
      <c r="B34" s="343"/>
      <c r="C34" s="343"/>
      <c r="D34" s="343"/>
      <c r="E34" s="343"/>
      <c r="F34" s="343"/>
      <c r="G34" s="343"/>
      <c r="H34" s="344"/>
      <c r="Z34" s="338"/>
      <c r="AA34" s="338"/>
      <c r="AB34" s="338"/>
      <c r="AC34" s="338"/>
      <c r="AD34" s="338"/>
      <c r="AE34" s="338"/>
      <c r="AF34" s="339"/>
      <c r="AG34" s="339"/>
    </row>
    <row r="35" spans="1:33" s="11" customFormat="1" ht="15" customHeight="1" x14ac:dyDescent="0.2">
      <c r="A35" s="342"/>
      <c r="B35" s="343"/>
      <c r="C35" s="343"/>
      <c r="D35" s="343"/>
      <c r="E35" s="343"/>
      <c r="F35" s="343"/>
      <c r="G35" s="343"/>
      <c r="H35" s="344"/>
      <c r="Z35" s="338"/>
      <c r="AA35" s="338"/>
      <c r="AB35" s="338"/>
      <c r="AC35" s="338"/>
      <c r="AD35" s="338"/>
      <c r="AE35" s="338"/>
      <c r="AF35" s="339"/>
      <c r="AG35" s="339"/>
    </row>
    <row r="36" spans="1:33" s="11" customFormat="1" ht="15" customHeight="1" x14ac:dyDescent="0.2">
      <c r="A36" s="342"/>
      <c r="B36" s="343"/>
      <c r="C36" s="343"/>
      <c r="D36" s="343"/>
      <c r="E36" s="343"/>
      <c r="F36" s="343"/>
      <c r="G36" s="343"/>
      <c r="H36" s="344"/>
    </row>
    <row r="37" spans="1:33" s="11" customFormat="1" ht="15" customHeight="1" x14ac:dyDescent="0.2">
      <c r="A37" s="342"/>
      <c r="B37" s="343"/>
      <c r="C37" s="343"/>
      <c r="D37" s="343"/>
      <c r="E37" s="343"/>
      <c r="F37" s="343"/>
      <c r="G37" s="343"/>
      <c r="H37" s="344"/>
    </row>
    <row r="38" spans="1:33" s="11" customFormat="1" ht="15" customHeight="1" x14ac:dyDescent="0.2">
      <c r="A38" s="342"/>
      <c r="B38" s="343"/>
      <c r="C38" s="343"/>
      <c r="D38" s="343"/>
      <c r="E38" s="343"/>
      <c r="F38" s="343"/>
      <c r="G38" s="343"/>
      <c r="H38" s="344"/>
      <c r="Z38" s="338"/>
      <c r="AA38" s="338"/>
      <c r="AB38" s="338"/>
      <c r="AC38" s="338"/>
      <c r="AD38" s="338"/>
      <c r="AE38" s="338"/>
      <c r="AF38" s="339"/>
      <c r="AG38" s="339"/>
    </row>
    <row r="39" spans="1:33" s="11" customFormat="1" ht="19.899999999999999" customHeight="1" x14ac:dyDescent="0.2">
      <c r="A39" s="342"/>
      <c r="B39" s="343"/>
      <c r="C39" s="343"/>
      <c r="D39" s="343"/>
      <c r="E39" s="343"/>
      <c r="F39" s="343"/>
      <c r="G39" s="343"/>
      <c r="H39" s="344"/>
      <c r="Z39" s="338"/>
      <c r="AA39" s="338"/>
      <c r="AB39" s="338"/>
      <c r="AC39" s="338"/>
      <c r="AD39" s="338"/>
      <c r="AE39" s="338"/>
      <c r="AF39" s="339"/>
      <c r="AG39" s="339"/>
    </row>
    <row r="40" spans="1:33" s="11" customFormat="1" ht="19.899999999999999" customHeight="1" x14ac:dyDescent="0.2">
      <c r="A40" s="342"/>
      <c r="B40" s="343"/>
      <c r="C40" s="343"/>
      <c r="D40" s="343"/>
      <c r="E40" s="343"/>
      <c r="F40" s="343"/>
      <c r="G40" s="343"/>
      <c r="H40" s="344"/>
    </row>
    <row r="41" spans="1:33" s="11" customFormat="1" ht="19.899999999999999" customHeight="1" x14ac:dyDescent="0.2">
      <c r="A41" s="342"/>
      <c r="B41" s="343"/>
      <c r="C41" s="343"/>
      <c r="D41" s="343"/>
      <c r="E41" s="343"/>
      <c r="F41" s="343"/>
      <c r="G41" s="343"/>
      <c r="H41" s="344"/>
    </row>
    <row r="42" spans="1:33" s="11" customFormat="1" ht="19.899999999999999" customHeight="1" x14ac:dyDescent="0.2">
      <c r="A42" s="342"/>
      <c r="B42" s="343"/>
      <c r="C42" s="343"/>
      <c r="D42" s="343"/>
      <c r="E42" s="343"/>
      <c r="F42" s="343"/>
      <c r="G42" s="343"/>
      <c r="H42" s="344"/>
    </row>
    <row r="43" spans="1:33" ht="19.899999999999999" customHeight="1" x14ac:dyDescent="0.2">
      <c r="A43" s="342"/>
      <c r="B43" s="343"/>
      <c r="C43" s="343"/>
      <c r="D43" s="343"/>
      <c r="E43" s="343"/>
      <c r="F43" s="343"/>
      <c r="G43" s="343"/>
      <c r="H43" s="344"/>
    </row>
    <row r="44" spans="1:33" ht="19.899999999999999" customHeight="1" x14ac:dyDescent="0.2">
      <c r="A44" s="342"/>
      <c r="B44" s="343"/>
      <c r="C44" s="343"/>
      <c r="D44" s="343"/>
      <c r="E44" s="343"/>
      <c r="F44" s="343"/>
      <c r="G44" s="343"/>
      <c r="H44" s="344"/>
    </row>
    <row r="45" spans="1:33" ht="19.899999999999999" customHeight="1" x14ac:dyDescent="0.2">
      <c r="A45" s="342"/>
      <c r="B45" s="343"/>
      <c r="C45" s="343"/>
      <c r="D45" s="343"/>
      <c r="E45" s="343"/>
      <c r="F45" s="343"/>
      <c r="G45" s="343"/>
      <c r="H45" s="344"/>
    </row>
    <row r="46" spans="1:33" ht="19.899999999999999" customHeight="1" x14ac:dyDescent="0.2">
      <c r="A46" s="342"/>
      <c r="B46" s="343"/>
      <c r="C46" s="343"/>
      <c r="D46" s="343"/>
      <c r="E46" s="343"/>
      <c r="F46" s="343"/>
      <c r="G46" s="343"/>
      <c r="H46" s="344"/>
    </row>
    <row r="47" spans="1:33" ht="19.899999999999999" customHeight="1" x14ac:dyDescent="0.2">
      <c r="A47" s="342"/>
      <c r="B47" s="343"/>
      <c r="C47" s="343"/>
      <c r="D47" s="343"/>
      <c r="E47" s="343"/>
      <c r="F47" s="343"/>
      <c r="G47" s="343"/>
      <c r="H47" s="344"/>
    </row>
    <row r="48" spans="1:33" ht="19.899999999999999" customHeight="1" x14ac:dyDescent="0.2">
      <c r="A48" s="342"/>
      <c r="B48" s="343"/>
      <c r="C48" s="343"/>
      <c r="D48" s="343"/>
      <c r="E48" s="343"/>
      <c r="F48" s="343"/>
      <c r="G48" s="343"/>
      <c r="H48" s="344"/>
    </row>
    <row r="49" spans="1:13" ht="25.9" customHeight="1" x14ac:dyDescent="0.2">
      <c r="A49" s="342"/>
      <c r="B49" s="343"/>
      <c r="C49" s="343"/>
      <c r="D49" s="343"/>
      <c r="E49" s="343"/>
      <c r="F49" s="343"/>
      <c r="G49" s="343"/>
      <c r="H49" s="344"/>
    </row>
    <row r="50" spans="1:13" ht="21.6" customHeight="1" x14ac:dyDescent="0.2">
      <c r="A50" s="342"/>
      <c r="B50" s="343"/>
      <c r="C50" s="343"/>
      <c r="D50" s="343"/>
      <c r="E50" s="343"/>
      <c r="F50" s="343"/>
      <c r="G50" s="343"/>
      <c r="H50" s="344"/>
    </row>
    <row r="51" spans="1:13" ht="21.6" customHeight="1" x14ac:dyDescent="0.2">
      <c r="A51" s="342"/>
      <c r="B51" s="343"/>
      <c r="C51" s="343"/>
      <c r="D51" s="343"/>
      <c r="E51" s="343"/>
      <c r="F51" s="343"/>
      <c r="G51" s="343"/>
      <c r="H51" s="344"/>
    </row>
    <row r="52" spans="1:13" ht="13.9" customHeight="1" x14ac:dyDescent="0.2">
      <c r="A52" s="342"/>
      <c r="B52" s="343"/>
      <c r="C52" s="343"/>
      <c r="D52" s="343"/>
      <c r="E52" s="343"/>
      <c r="F52" s="343"/>
      <c r="G52" s="343"/>
      <c r="H52" s="344"/>
    </row>
    <row r="53" spans="1:13" ht="13.9" customHeight="1" x14ac:dyDescent="0.2">
      <c r="A53" s="342"/>
      <c r="B53" s="343"/>
      <c r="C53" s="343"/>
      <c r="D53" s="343"/>
      <c r="E53" s="343"/>
      <c r="F53" s="343"/>
      <c r="G53" s="343"/>
      <c r="H53" s="344"/>
    </row>
    <row r="54" spans="1:13" ht="13.9" customHeight="1" thickBot="1" x14ac:dyDescent="0.25">
      <c r="A54" s="345"/>
      <c r="B54" s="346"/>
      <c r="C54" s="346"/>
      <c r="D54" s="346"/>
      <c r="E54" s="346"/>
      <c r="F54" s="346"/>
      <c r="G54" s="346"/>
      <c r="H54" s="347"/>
    </row>
    <row r="59" spans="1:13" ht="31.9" customHeight="1" x14ac:dyDescent="0.2"/>
    <row r="60" spans="1:13" ht="34.15" customHeight="1" x14ac:dyDescent="0.2">
      <c r="E60" s="4" t="s">
        <v>103</v>
      </c>
      <c r="I60" s="338"/>
      <c r="J60" s="338"/>
      <c r="K60" s="338"/>
      <c r="L60" s="338"/>
      <c r="M60" s="338"/>
    </row>
    <row r="61" spans="1:13" ht="34.15" customHeight="1" x14ac:dyDescent="0.2">
      <c r="I61" s="338"/>
      <c r="J61" s="338"/>
      <c r="K61" s="338"/>
      <c r="L61" s="338"/>
      <c r="M61" s="338"/>
    </row>
    <row r="62" spans="1:13" ht="34.15" customHeight="1" x14ac:dyDescent="0.2">
      <c r="I62" s="338"/>
      <c r="J62" s="338"/>
      <c r="K62" s="338"/>
      <c r="L62" s="338"/>
      <c r="M62" s="338"/>
    </row>
    <row r="63" spans="1:13" ht="34.15" customHeight="1" x14ac:dyDescent="0.2">
      <c r="I63" s="338"/>
      <c r="J63" s="338"/>
      <c r="K63" s="338"/>
      <c r="L63" s="338"/>
      <c r="M63" s="338"/>
    </row>
    <row r="64" spans="1:13" ht="34.15" customHeight="1" x14ac:dyDescent="0.2">
      <c r="I64" s="341"/>
      <c r="J64" s="341"/>
      <c r="K64" s="341"/>
      <c r="L64" s="341"/>
      <c r="M64" s="341"/>
    </row>
    <row r="65" spans="9:16" ht="34.15" customHeight="1" x14ac:dyDescent="0.2">
      <c r="I65" s="338"/>
      <c r="J65" s="338"/>
      <c r="K65" s="338"/>
      <c r="L65" s="338"/>
      <c r="M65" s="338"/>
    </row>
    <row r="66" spans="9:16" ht="34.15" customHeight="1" x14ac:dyDescent="0.2">
      <c r="I66" s="10"/>
      <c r="J66" s="10"/>
      <c r="K66" s="10"/>
      <c r="L66" s="10"/>
      <c r="M66" s="10"/>
      <c r="N66" s="10"/>
      <c r="O66" s="339"/>
      <c r="P66" s="339"/>
    </row>
    <row r="67" spans="9:16" ht="15" x14ac:dyDescent="0.2">
      <c r="I67" s="340"/>
      <c r="J67" s="340"/>
      <c r="K67" s="340"/>
      <c r="L67" s="340"/>
      <c r="M67" s="340"/>
      <c r="N67" s="10"/>
      <c r="O67" s="339"/>
      <c r="P67" s="339"/>
    </row>
    <row r="68" spans="9:16" x14ac:dyDescent="0.2">
      <c r="I68" s="10"/>
      <c r="J68" s="10"/>
      <c r="K68" s="10"/>
      <c r="L68" s="10"/>
      <c r="M68" s="10"/>
      <c r="N68" s="10"/>
      <c r="O68" s="339"/>
      <c r="P68" s="339"/>
    </row>
    <row r="69" spans="9:16" ht="15" x14ac:dyDescent="0.2">
      <c r="I69" s="338"/>
      <c r="J69" s="338"/>
      <c r="K69" s="338"/>
      <c r="L69" s="338"/>
      <c r="M69" s="338"/>
      <c r="N69" s="10"/>
      <c r="O69" s="339"/>
      <c r="P69" s="339"/>
    </row>
    <row r="70" spans="9:16" x14ac:dyDescent="0.2">
      <c r="I70" s="340"/>
      <c r="J70" s="340"/>
      <c r="K70" s="340"/>
      <c r="L70" s="340"/>
      <c r="M70" s="340"/>
      <c r="N70" s="340"/>
      <c r="O70" s="339"/>
      <c r="P70" s="339"/>
    </row>
    <row r="71" spans="9:16" x14ac:dyDescent="0.2">
      <c r="I71" s="340"/>
      <c r="J71" s="340"/>
      <c r="K71" s="340"/>
      <c r="L71" s="340"/>
      <c r="M71" s="340"/>
      <c r="N71" s="340"/>
      <c r="O71" s="339"/>
      <c r="P71" s="339"/>
    </row>
    <row r="72" spans="9:16" x14ac:dyDescent="0.2">
      <c r="I72" s="338"/>
      <c r="J72" s="338"/>
      <c r="K72" s="338"/>
      <c r="L72" s="338"/>
      <c r="M72" s="338"/>
      <c r="N72" s="338"/>
      <c r="O72" s="339"/>
      <c r="P72" s="339"/>
    </row>
    <row r="73" spans="9:16" x14ac:dyDescent="0.2">
      <c r="I73" s="338"/>
      <c r="J73" s="338"/>
      <c r="K73" s="338"/>
      <c r="L73" s="338"/>
      <c r="M73" s="338"/>
      <c r="N73" s="338"/>
      <c r="O73" s="339"/>
      <c r="P73" s="339"/>
    </row>
    <row r="74" spans="9:16" x14ac:dyDescent="0.2">
      <c r="I74" s="340"/>
      <c r="J74" s="340"/>
      <c r="K74" s="340"/>
      <c r="L74" s="340"/>
      <c r="M74" s="340"/>
      <c r="N74" s="340"/>
      <c r="O74" s="339"/>
      <c r="P74" s="339"/>
    </row>
    <row r="75" spans="9:16" x14ac:dyDescent="0.2">
      <c r="I75" s="340"/>
      <c r="J75" s="340"/>
      <c r="K75" s="340"/>
      <c r="L75" s="340"/>
      <c r="M75" s="340"/>
      <c r="N75" s="340"/>
      <c r="O75" s="339"/>
      <c r="P75" s="339"/>
    </row>
    <row r="76" spans="9:16" x14ac:dyDescent="0.2">
      <c r="I76" s="338"/>
      <c r="J76" s="338"/>
      <c r="K76" s="338"/>
      <c r="L76" s="338"/>
      <c r="M76" s="338"/>
      <c r="N76" s="338"/>
      <c r="O76" s="339"/>
      <c r="P76" s="339"/>
    </row>
    <row r="77" spans="9:16" x14ac:dyDescent="0.2">
      <c r="I77" s="338"/>
      <c r="J77" s="338"/>
      <c r="K77" s="338"/>
      <c r="L77" s="338"/>
      <c r="M77" s="338"/>
      <c r="N77" s="338"/>
      <c r="O77" s="339"/>
      <c r="P77" s="339"/>
    </row>
    <row r="78" spans="9:16" x14ac:dyDescent="0.2">
      <c r="I78" s="338"/>
      <c r="J78" s="338"/>
      <c r="K78" s="338"/>
      <c r="L78" s="338"/>
      <c r="M78" s="338"/>
      <c r="N78" s="338"/>
      <c r="O78" s="339"/>
      <c r="P78" s="339"/>
    </row>
    <row r="79" spans="9:16" x14ac:dyDescent="0.2">
      <c r="I79" s="338"/>
      <c r="J79" s="338"/>
      <c r="K79" s="338"/>
      <c r="L79" s="338"/>
      <c r="M79" s="338"/>
      <c r="N79" s="338"/>
      <c r="O79" s="339"/>
      <c r="P79" s="339"/>
    </row>
    <row r="80" spans="9:16" x14ac:dyDescent="0.2">
      <c r="I80" s="338"/>
      <c r="J80" s="338"/>
      <c r="K80" s="338"/>
      <c r="L80" s="338"/>
      <c r="M80" s="338"/>
      <c r="N80" s="338"/>
      <c r="O80" s="339"/>
      <c r="P80" s="339"/>
    </row>
    <row r="81" spans="9:16" x14ac:dyDescent="0.2">
      <c r="I81" s="338"/>
      <c r="J81" s="338"/>
      <c r="K81" s="338"/>
      <c r="L81" s="338"/>
      <c r="M81" s="338"/>
      <c r="N81" s="338"/>
      <c r="O81" s="339"/>
      <c r="P81" s="339"/>
    </row>
    <row r="82" spans="9:16" x14ac:dyDescent="0.2">
      <c r="I82" s="338"/>
      <c r="J82" s="338"/>
      <c r="K82" s="338"/>
      <c r="L82" s="338"/>
      <c r="M82" s="338"/>
      <c r="N82" s="338"/>
      <c r="O82" s="339"/>
      <c r="P82" s="339"/>
    </row>
    <row r="83" spans="9:16" x14ac:dyDescent="0.2">
      <c r="I83" s="338"/>
      <c r="J83" s="338"/>
      <c r="K83" s="338"/>
      <c r="L83" s="338"/>
      <c r="M83" s="338"/>
      <c r="N83" s="338"/>
      <c r="O83" s="339"/>
      <c r="P83" s="339"/>
    </row>
    <row r="84" spans="9:16" ht="15" x14ac:dyDescent="0.2">
      <c r="I84" s="11"/>
      <c r="J84" s="11"/>
      <c r="K84" s="11"/>
      <c r="L84" s="11"/>
      <c r="M84" s="11"/>
      <c r="N84" s="11"/>
      <c r="O84" s="11"/>
      <c r="P84" s="11"/>
    </row>
    <row r="85" spans="9:16" ht="15" x14ac:dyDescent="0.2">
      <c r="I85" s="11"/>
      <c r="J85" s="11"/>
      <c r="K85" s="11"/>
      <c r="L85" s="11"/>
      <c r="M85" s="11"/>
      <c r="N85" s="11"/>
      <c r="O85" s="11"/>
      <c r="P85" s="11"/>
    </row>
    <row r="86" spans="9:16" x14ac:dyDescent="0.2">
      <c r="I86" s="338"/>
      <c r="J86" s="338"/>
      <c r="K86" s="338"/>
      <c r="L86" s="338"/>
      <c r="M86" s="338"/>
      <c r="N86" s="338"/>
      <c r="O86" s="339"/>
      <c r="P86" s="339"/>
    </row>
    <row r="87" spans="9:16" x14ac:dyDescent="0.2">
      <c r="I87" s="338"/>
      <c r="J87" s="338"/>
      <c r="K87" s="338"/>
      <c r="L87" s="338"/>
      <c r="M87" s="338"/>
      <c r="N87" s="338"/>
      <c r="O87" s="339"/>
      <c r="P87" s="339"/>
    </row>
    <row r="88" spans="9:16" x14ac:dyDescent="0.2">
      <c r="I88" s="340"/>
      <c r="J88" s="340"/>
      <c r="K88" s="340"/>
      <c r="L88" s="340"/>
      <c r="M88" s="340"/>
      <c r="N88" s="340"/>
      <c r="O88" s="339"/>
      <c r="P88" s="339"/>
    </row>
    <row r="89" spans="9:16" x14ac:dyDescent="0.2">
      <c r="I89" s="340"/>
      <c r="J89" s="340"/>
      <c r="K89" s="340"/>
      <c r="L89" s="340"/>
      <c r="M89" s="340"/>
      <c r="N89" s="340"/>
      <c r="O89" s="339"/>
      <c r="P89" s="339"/>
    </row>
    <row r="90" spans="9:16" x14ac:dyDescent="0.2">
      <c r="I90" s="338"/>
      <c r="J90" s="338"/>
      <c r="K90" s="338"/>
      <c r="L90" s="338"/>
      <c r="M90" s="338"/>
      <c r="N90" s="338"/>
      <c r="O90" s="339"/>
      <c r="P90" s="339"/>
    </row>
    <row r="91" spans="9:16" x14ac:dyDescent="0.2">
      <c r="I91" s="338"/>
      <c r="J91" s="338"/>
      <c r="K91" s="338"/>
      <c r="L91" s="338"/>
      <c r="M91" s="338"/>
      <c r="N91" s="338"/>
      <c r="O91" s="339"/>
      <c r="P91" s="339"/>
    </row>
    <row r="92" spans="9:16" x14ac:dyDescent="0.2">
      <c r="I92" s="338"/>
      <c r="J92" s="338"/>
      <c r="K92" s="338"/>
      <c r="L92" s="338"/>
      <c r="M92" s="338"/>
      <c r="N92" s="338"/>
      <c r="O92" s="339"/>
      <c r="P92" s="339"/>
    </row>
    <row r="93" spans="9:16" x14ac:dyDescent="0.2">
      <c r="I93" s="338"/>
      <c r="J93" s="338"/>
      <c r="K93" s="338"/>
      <c r="L93" s="338"/>
      <c r="M93" s="338"/>
      <c r="N93" s="338"/>
      <c r="O93" s="339"/>
      <c r="P93" s="339"/>
    </row>
    <row r="94" spans="9:16" ht="15" x14ac:dyDescent="0.2">
      <c r="I94" s="11"/>
      <c r="J94" s="11"/>
      <c r="K94" s="11"/>
      <c r="L94" s="11"/>
      <c r="M94" s="11"/>
      <c r="N94" s="11"/>
      <c r="O94" s="11"/>
      <c r="P94" s="11"/>
    </row>
    <row r="95" spans="9:16" ht="15" x14ac:dyDescent="0.2">
      <c r="I95" s="11"/>
      <c r="J95" s="11"/>
      <c r="K95" s="11"/>
      <c r="L95" s="11"/>
      <c r="M95" s="11"/>
      <c r="N95" s="11"/>
      <c r="O95" s="11"/>
      <c r="P95" s="11"/>
    </row>
    <row r="96" spans="9:16" x14ac:dyDescent="0.2">
      <c r="I96" s="338"/>
      <c r="J96" s="338"/>
      <c r="K96" s="338"/>
      <c r="L96" s="338"/>
      <c r="M96" s="338"/>
      <c r="N96" s="338"/>
      <c r="O96" s="339"/>
      <c r="P96" s="339"/>
    </row>
    <row r="97" spans="9:16" x14ac:dyDescent="0.2">
      <c r="I97" s="338"/>
      <c r="J97" s="338"/>
      <c r="K97" s="338"/>
      <c r="L97" s="338"/>
      <c r="M97" s="338"/>
      <c r="N97" s="338"/>
      <c r="O97" s="339"/>
      <c r="P97" s="339"/>
    </row>
  </sheetData>
  <mergeCells count="113">
    <mergeCell ref="W2:X2"/>
    <mergeCell ref="A3:H4"/>
    <mergeCell ref="I3:P4"/>
    <mergeCell ref="Q3:X4"/>
    <mergeCell ref="A5:B5"/>
    <mergeCell ref="C5:D5"/>
    <mergeCell ref="E5:F5"/>
    <mergeCell ref="G5:H5"/>
    <mergeCell ref="I5:M5"/>
    <mergeCell ref="N5:O5"/>
    <mergeCell ref="A2:C2"/>
    <mergeCell ref="D2:F2"/>
    <mergeCell ref="G2:H2"/>
    <mergeCell ref="I2:N2"/>
    <mergeCell ref="O2:P2"/>
    <mergeCell ref="Q2:V2"/>
    <mergeCell ref="Q5:U5"/>
    <mergeCell ref="V5:W5"/>
    <mergeCell ref="A6:B6"/>
    <mergeCell ref="C6:D6"/>
    <mergeCell ref="E6:F6"/>
    <mergeCell ref="G6:H6"/>
    <mergeCell ref="I6:M6"/>
    <mergeCell ref="N6:O6"/>
    <mergeCell ref="Q6:U6"/>
    <mergeCell ref="V6:W6"/>
    <mergeCell ref="AG14:AG15"/>
    <mergeCell ref="Z16:AE17"/>
    <mergeCell ref="AF16:AF17"/>
    <mergeCell ref="AG16:AG17"/>
    <mergeCell ref="Z18:AE19"/>
    <mergeCell ref="AF18:AF19"/>
    <mergeCell ref="AG18:AG19"/>
    <mergeCell ref="A7:H54"/>
    <mergeCell ref="AF8:AF11"/>
    <mergeCell ref="AG8:AG11"/>
    <mergeCell ref="Z9:AD9"/>
    <mergeCell ref="Z11:AD11"/>
    <mergeCell ref="Z12:AE13"/>
    <mergeCell ref="AF12:AF13"/>
    <mergeCell ref="AG12:AG13"/>
    <mergeCell ref="Z14:AE15"/>
    <mergeCell ref="AF14:AF15"/>
    <mergeCell ref="Z24:AE25"/>
    <mergeCell ref="AF24:AF25"/>
    <mergeCell ref="AG24:AG25"/>
    <mergeCell ref="Z28:AE29"/>
    <mergeCell ref="AF28:AF29"/>
    <mergeCell ref="AG28:AG29"/>
    <mergeCell ref="Z20:AE21"/>
    <mergeCell ref="AF20:AF21"/>
    <mergeCell ref="AG20:AG21"/>
    <mergeCell ref="Z22:AE23"/>
    <mergeCell ref="AF22:AF23"/>
    <mergeCell ref="AG22:AG23"/>
    <mergeCell ref="Z34:AE35"/>
    <mergeCell ref="AF34:AF35"/>
    <mergeCell ref="AG34:AG35"/>
    <mergeCell ref="Z38:AE39"/>
    <mergeCell ref="AF38:AF39"/>
    <mergeCell ref="AG38:AG39"/>
    <mergeCell ref="Z30:AE31"/>
    <mergeCell ref="AF30:AF31"/>
    <mergeCell ref="AG30:AG31"/>
    <mergeCell ref="Z32:AE33"/>
    <mergeCell ref="AF32:AF33"/>
    <mergeCell ref="AG32:AG33"/>
    <mergeCell ref="O66:O69"/>
    <mergeCell ref="P66:P69"/>
    <mergeCell ref="I67:M67"/>
    <mergeCell ref="I69:M69"/>
    <mergeCell ref="I70:N71"/>
    <mergeCell ref="O70:O71"/>
    <mergeCell ref="P70:P71"/>
    <mergeCell ref="I60:M60"/>
    <mergeCell ref="I61:M61"/>
    <mergeCell ref="I62:M62"/>
    <mergeCell ref="I63:M63"/>
    <mergeCell ref="I64:M64"/>
    <mergeCell ref="I65:M65"/>
    <mergeCell ref="I76:N77"/>
    <mergeCell ref="O76:O77"/>
    <mergeCell ref="P76:P77"/>
    <mergeCell ref="I78:N79"/>
    <mergeCell ref="O78:O79"/>
    <mergeCell ref="P78:P79"/>
    <mergeCell ref="I72:N73"/>
    <mergeCell ref="O72:O73"/>
    <mergeCell ref="P72:P73"/>
    <mergeCell ref="I74:N75"/>
    <mergeCell ref="O74:O75"/>
    <mergeCell ref="P74:P75"/>
    <mergeCell ref="I86:N87"/>
    <mergeCell ref="O86:O87"/>
    <mergeCell ref="P86:P87"/>
    <mergeCell ref="I88:N89"/>
    <mergeCell ref="O88:O89"/>
    <mergeCell ref="P88:P89"/>
    <mergeCell ref="I80:N81"/>
    <mergeCell ref="O80:O81"/>
    <mergeCell ref="P80:P81"/>
    <mergeCell ref="I82:N83"/>
    <mergeCell ref="O82:O83"/>
    <mergeCell ref="P82:P83"/>
    <mergeCell ref="I96:N97"/>
    <mergeCell ref="O96:O97"/>
    <mergeCell ref="P96:P97"/>
    <mergeCell ref="I90:N91"/>
    <mergeCell ref="O90:O91"/>
    <mergeCell ref="P90:P91"/>
    <mergeCell ref="I92:N93"/>
    <mergeCell ref="O92:O93"/>
    <mergeCell ref="P92:P93"/>
  </mergeCells>
  <printOptions horizontalCentered="1"/>
  <pageMargins left="0.27559055118110237" right="0.27559055118110237" top="0.27559055118110237" bottom="0" header="0.27559055118110237" footer="0"/>
  <pageSetup paperSize="9" scale="91" fitToWidth="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A43F-63C1-4A38-BCA7-F74280E76F21}">
  <sheetPr>
    <tabColor rgb="FFFF0000"/>
  </sheetPr>
  <dimension ref="A1:J59"/>
  <sheetViews>
    <sheetView view="pageBreakPreview" zoomScaleNormal="100" zoomScaleSheetLayoutView="100" workbookViewId="0">
      <selection activeCell="O22" sqref="O22"/>
    </sheetView>
  </sheetViews>
  <sheetFormatPr baseColWidth="10" defaultColWidth="11.42578125" defaultRowHeight="12.75" x14ac:dyDescent="0.2"/>
  <cols>
    <col min="1" max="1" width="8.28515625" style="4" customWidth="1"/>
    <col min="2" max="5" width="11.42578125" style="4"/>
    <col min="6" max="6" width="20.42578125" style="4" customWidth="1"/>
    <col min="7" max="9" width="11.42578125" style="4"/>
    <col min="10" max="10" width="3.5703125" style="4" customWidth="1"/>
    <col min="11" max="16384" width="11.42578125" style="20"/>
  </cols>
  <sheetData>
    <row r="1" spans="1:10" ht="15" x14ac:dyDescent="0.25">
      <c r="A1" s="368" t="s">
        <v>29</v>
      </c>
      <c r="B1" s="369"/>
      <c r="C1" s="369"/>
      <c r="D1" s="369"/>
      <c r="E1" s="369"/>
      <c r="F1" s="369"/>
      <c r="G1" s="373" t="s">
        <v>104</v>
      </c>
      <c r="H1" s="371"/>
      <c r="I1" s="371"/>
      <c r="J1" s="374"/>
    </row>
    <row r="2" spans="1:10" x14ac:dyDescent="0.2">
      <c r="A2" s="426" t="s">
        <v>79</v>
      </c>
      <c r="B2" s="362"/>
      <c r="C2" s="362"/>
      <c r="D2" s="362"/>
      <c r="E2" s="362"/>
      <c r="F2" s="362"/>
      <c r="G2" s="362"/>
      <c r="H2" s="362"/>
      <c r="I2" s="362"/>
      <c r="J2" s="427"/>
    </row>
    <row r="3" spans="1:10" x14ac:dyDescent="0.2">
      <c r="A3" s="428"/>
      <c r="B3" s="429"/>
      <c r="C3" s="429"/>
      <c r="D3" s="429"/>
      <c r="E3" s="429"/>
      <c r="F3" s="429"/>
      <c r="G3" s="362"/>
      <c r="H3" s="362"/>
      <c r="I3" s="362"/>
      <c r="J3" s="430"/>
    </row>
    <row r="4" spans="1:10" x14ac:dyDescent="0.2">
      <c r="A4" s="431" t="s">
        <v>37</v>
      </c>
      <c r="B4" s="432"/>
      <c r="C4" s="435" t="s">
        <v>36</v>
      </c>
      <c r="D4" s="436"/>
      <c r="E4" s="432"/>
      <c r="F4" s="435" t="s">
        <v>32</v>
      </c>
      <c r="G4" s="436"/>
      <c r="H4" s="432"/>
      <c r="I4" s="435" t="s">
        <v>38</v>
      </c>
      <c r="J4" s="439"/>
    </row>
    <row r="5" spans="1:10" ht="13.5" thickBot="1" x14ac:dyDescent="0.25">
      <c r="A5" s="433"/>
      <c r="B5" s="434"/>
      <c r="C5" s="437"/>
      <c r="D5" s="438"/>
      <c r="E5" s="434"/>
      <c r="F5" s="437"/>
      <c r="G5" s="438"/>
      <c r="H5" s="434"/>
      <c r="I5" s="437"/>
      <c r="J5" s="440"/>
    </row>
    <row r="6" spans="1:10" ht="15" thickBot="1" x14ac:dyDescent="0.25">
      <c r="A6" s="384" t="s">
        <v>80</v>
      </c>
      <c r="B6" s="378"/>
      <c r="C6" s="7"/>
      <c r="D6" s="7"/>
      <c r="E6" s="7"/>
      <c r="F6" s="7"/>
      <c r="G6" s="7"/>
      <c r="H6" s="422" t="s">
        <v>105</v>
      </c>
      <c r="I6" s="423"/>
      <c r="J6" s="424"/>
    </row>
    <row r="7" spans="1:10" ht="15" thickBot="1" x14ac:dyDescent="0.25">
      <c r="A7" s="8"/>
      <c r="B7" s="7"/>
      <c r="C7" s="7"/>
      <c r="D7" s="7"/>
      <c r="E7" s="7"/>
      <c r="F7" s="7"/>
      <c r="G7" s="7"/>
      <c r="H7" s="7"/>
      <c r="I7" s="7"/>
      <c r="J7" s="9"/>
    </row>
    <row r="8" spans="1:10" ht="15.75" thickBot="1" x14ac:dyDescent="0.25">
      <c r="A8" s="8"/>
      <c r="B8" s="425" t="s">
        <v>81</v>
      </c>
      <c r="C8" s="420"/>
      <c r="D8" s="420" t="s">
        <v>82</v>
      </c>
      <c r="E8" s="420"/>
      <c r="F8" s="420" t="s">
        <v>83</v>
      </c>
      <c r="G8" s="420"/>
      <c r="H8" s="420"/>
      <c r="I8" s="421"/>
      <c r="J8" s="9"/>
    </row>
    <row r="9" spans="1:10" ht="15" thickBot="1" x14ac:dyDescent="0.25">
      <c r="A9" s="8"/>
      <c r="B9" s="414"/>
      <c r="C9" s="415"/>
      <c r="D9" s="416"/>
      <c r="E9" s="415"/>
      <c r="F9" s="416"/>
      <c r="G9" s="415"/>
      <c r="H9" s="416"/>
      <c r="I9" s="417"/>
      <c r="J9" s="9"/>
    </row>
    <row r="10" spans="1:10" ht="14.25" x14ac:dyDescent="0.2">
      <c r="A10" s="8"/>
      <c r="B10" s="7"/>
      <c r="C10" s="7"/>
      <c r="D10" s="7"/>
      <c r="E10" s="7"/>
      <c r="F10" s="7"/>
      <c r="G10" s="7"/>
      <c r="H10" s="7"/>
      <c r="I10" s="7"/>
      <c r="J10" s="9"/>
    </row>
    <row r="11" spans="1:10" ht="14.25" x14ac:dyDescent="0.2">
      <c r="A11" s="8" t="s">
        <v>84</v>
      </c>
      <c r="B11" s="7"/>
      <c r="C11" s="7"/>
      <c r="D11" s="7"/>
      <c r="E11" s="7"/>
      <c r="F11" s="7"/>
      <c r="G11" s="7"/>
      <c r="H11" s="7"/>
      <c r="I11" s="7"/>
      <c r="J11" s="9"/>
    </row>
    <row r="12" spans="1:10" ht="15" thickBot="1" x14ac:dyDescent="0.25">
      <c r="A12" s="8"/>
      <c r="B12" s="7"/>
      <c r="C12" s="7"/>
      <c r="D12" s="7"/>
      <c r="E12" s="7"/>
      <c r="F12" s="7"/>
      <c r="G12" s="7"/>
      <c r="H12" s="7"/>
      <c r="I12" s="7"/>
      <c r="J12" s="9"/>
    </row>
    <row r="13" spans="1:10" ht="15" x14ac:dyDescent="0.2">
      <c r="A13" s="8"/>
      <c r="B13" s="118" t="s">
        <v>85</v>
      </c>
      <c r="C13" s="142"/>
      <c r="D13" s="7"/>
      <c r="E13" s="378" t="s">
        <v>106</v>
      </c>
      <c r="F13" s="378"/>
      <c r="G13" s="7"/>
      <c r="H13" s="7"/>
      <c r="I13" s="7"/>
      <c r="J13" s="9"/>
    </row>
    <row r="14" spans="1:10" ht="15" x14ac:dyDescent="0.2">
      <c r="A14" s="8"/>
      <c r="B14" s="119" t="s">
        <v>86</v>
      </c>
      <c r="C14" s="143"/>
      <c r="D14" s="7"/>
      <c r="E14" s="378"/>
      <c r="F14" s="378"/>
      <c r="G14" s="378"/>
      <c r="H14" s="378"/>
      <c r="I14" s="378"/>
      <c r="J14" s="9"/>
    </row>
    <row r="15" spans="1:10" ht="15" x14ac:dyDescent="0.2">
      <c r="A15" s="8"/>
      <c r="B15" s="120" t="s">
        <v>87</v>
      </c>
      <c r="C15" s="144"/>
      <c r="D15" s="7"/>
      <c r="E15" s="378"/>
      <c r="F15" s="378"/>
      <c r="G15" s="378"/>
      <c r="H15" s="378"/>
      <c r="I15" s="378"/>
      <c r="J15" s="9"/>
    </row>
    <row r="16" spans="1:10" ht="15" x14ac:dyDescent="0.2">
      <c r="A16" s="8"/>
      <c r="B16" s="121" t="s">
        <v>88</v>
      </c>
      <c r="C16" s="122"/>
      <c r="D16" s="7"/>
      <c r="E16" s="378"/>
      <c r="F16" s="378"/>
      <c r="G16" s="378"/>
      <c r="H16" s="378"/>
      <c r="I16" s="378"/>
      <c r="J16" s="9"/>
    </row>
    <row r="17" spans="1:10" ht="15.75" thickBot="1" x14ac:dyDescent="0.25">
      <c r="A17" s="8"/>
      <c r="B17" s="123"/>
      <c r="C17" s="124"/>
      <c r="D17" s="7"/>
      <c r="E17" s="378"/>
      <c r="F17" s="378"/>
      <c r="G17" s="378"/>
      <c r="H17" s="378"/>
      <c r="I17" s="378"/>
      <c r="J17" s="9"/>
    </row>
    <row r="18" spans="1:10" ht="15" thickBo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4"/>
    </row>
    <row r="19" spans="1:10" ht="30.75" thickBot="1" x14ac:dyDescent="0.25">
      <c r="A19" s="15"/>
      <c r="B19" s="418" t="s">
        <v>89</v>
      </c>
      <c r="C19" s="419"/>
      <c r="D19" s="419"/>
      <c r="E19" s="419"/>
      <c r="F19" s="419"/>
      <c r="G19" s="139" t="s">
        <v>90</v>
      </c>
      <c r="H19" s="420" t="s">
        <v>91</v>
      </c>
      <c r="I19" s="421"/>
      <c r="J19" s="125"/>
    </row>
    <row r="20" spans="1:10" x14ac:dyDescent="0.2">
      <c r="A20" s="15"/>
      <c r="B20" s="410"/>
      <c r="C20" s="411"/>
      <c r="D20" s="411"/>
      <c r="E20" s="411"/>
      <c r="F20" s="411"/>
      <c r="G20" s="137"/>
      <c r="H20" s="412"/>
      <c r="I20" s="413"/>
      <c r="J20" s="14"/>
    </row>
    <row r="21" spans="1:10" x14ac:dyDescent="0.2">
      <c r="A21" s="15"/>
      <c r="B21" s="400"/>
      <c r="C21" s="401"/>
      <c r="D21" s="401"/>
      <c r="E21" s="401"/>
      <c r="F21" s="401"/>
      <c r="G21" s="145"/>
      <c r="H21" s="402"/>
      <c r="I21" s="403"/>
      <c r="J21" s="14"/>
    </row>
    <row r="22" spans="1:10" x14ac:dyDescent="0.2">
      <c r="A22" s="15"/>
      <c r="B22" s="400"/>
      <c r="C22" s="401"/>
      <c r="D22" s="401"/>
      <c r="E22" s="401"/>
      <c r="F22" s="401"/>
      <c r="G22" s="145"/>
      <c r="H22" s="402"/>
      <c r="I22" s="403"/>
      <c r="J22" s="14"/>
    </row>
    <row r="23" spans="1:10" ht="14.25" x14ac:dyDescent="0.2">
      <c r="A23" s="8"/>
      <c r="B23" s="400"/>
      <c r="C23" s="401"/>
      <c r="D23" s="401"/>
      <c r="E23" s="401"/>
      <c r="F23" s="401"/>
      <c r="G23" s="138"/>
      <c r="H23" s="402"/>
      <c r="I23" s="403"/>
      <c r="J23" s="9"/>
    </row>
    <row r="24" spans="1:10" ht="14.25" x14ac:dyDescent="0.2">
      <c r="A24" s="8"/>
      <c r="B24" s="400"/>
      <c r="C24" s="401"/>
      <c r="D24" s="401"/>
      <c r="E24" s="401"/>
      <c r="F24" s="401"/>
      <c r="G24" s="138"/>
      <c r="H24" s="404"/>
      <c r="I24" s="405"/>
      <c r="J24" s="9"/>
    </row>
    <row r="25" spans="1:10" ht="15" thickBot="1" x14ac:dyDescent="0.25">
      <c r="A25" s="8"/>
      <c r="B25" s="406"/>
      <c r="C25" s="407"/>
      <c r="D25" s="407"/>
      <c r="E25" s="407"/>
      <c r="F25" s="407"/>
      <c r="G25" s="136"/>
      <c r="H25" s="408"/>
      <c r="I25" s="409"/>
      <c r="J25" s="9"/>
    </row>
    <row r="26" spans="1:10" ht="14.25" x14ac:dyDescent="0.2">
      <c r="A26" s="8"/>
      <c r="B26" s="7"/>
      <c r="C26" s="7"/>
      <c r="D26" s="7"/>
      <c r="E26" s="7"/>
      <c r="F26" s="7"/>
      <c r="G26" s="7"/>
      <c r="H26" s="7"/>
      <c r="I26" s="7"/>
      <c r="J26" s="9"/>
    </row>
    <row r="27" spans="1:10" ht="14.25" x14ac:dyDescent="0.2">
      <c r="A27" s="384" t="s">
        <v>92</v>
      </c>
      <c r="B27" s="378"/>
      <c r="C27" s="7"/>
      <c r="D27" s="7"/>
      <c r="E27" s="7"/>
      <c r="F27" s="7"/>
      <c r="G27" s="7"/>
      <c r="H27" s="7"/>
      <c r="I27" s="7"/>
      <c r="J27" s="9"/>
    </row>
    <row r="28" spans="1:10" ht="15" thickBot="1" x14ac:dyDescent="0.25">
      <c r="A28" s="8"/>
      <c r="B28" s="7"/>
      <c r="C28" s="7"/>
      <c r="D28" s="7"/>
      <c r="E28" s="7"/>
      <c r="F28" s="7"/>
      <c r="G28" s="7"/>
      <c r="H28" s="7"/>
      <c r="I28" s="7"/>
      <c r="J28" s="9"/>
    </row>
    <row r="29" spans="1:10" ht="15.75" thickBot="1" x14ac:dyDescent="0.25">
      <c r="A29" s="8"/>
      <c r="B29" s="7"/>
      <c r="C29" s="7"/>
      <c r="D29" s="127"/>
      <c r="E29" s="128"/>
      <c r="F29" s="397" t="s">
        <v>93</v>
      </c>
      <c r="G29" s="398"/>
      <c r="H29" s="398"/>
      <c r="I29" s="399"/>
      <c r="J29" s="9"/>
    </row>
    <row r="30" spans="1:10" ht="15" x14ac:dyDescent="0.2">
      <c r="A30" s="8"/>
      <c r="B30" s="392" t="s">
        <v>94</v>
      </c>
      <c r="C30" s="393"/>
      <c r="D30" s="129"/>
      <c r="E30" s="130"/>
      <c r="F30" s="394"/>
      <c r="G30" s="395"/>
      <c r="H30" s="395"/>
      <c r="I30" s="396"/>
      <c r="J30" s="9"/>
    </row>
    <row r="31" spans="1:10" ht="15" x14ac:dyDescent="0.2">
      <c r="A31" s="15"/>
      <c r="B31" s="385" t="s">
        <v>95</v>
      </c>
      <c r="C31" s="386"/>
      <c r="D31" s="126"/>
      <c r="E31" s="131"/>
      <c r="F31" s="387"/>
      <c r="G31" s="388"/>
      <c r="H31" s="388"/>
      <c r="I31" s="389"/>
      <c r="J31" s="14"/>
    </row>
    <row r="32" spans="1:10" ht="15" x14ac:dyDescent="0.2">
      <c r="A32" s="15"/>
      <c r="B32" s="385" t="s">
        <v>96</v>
      </c>
      <c r="C32" s="386"/>
      <c r="D32" s="126"/>
      <c r="E32" s="131"/>
      <c r="F32" s="387"/>
      <c r="G32" s="388"/>
      <c r="H32" s="388"/>
      <c r="I32" s="389"/>
      <c r="J32" s="14"/>
    </row>
    <row r="33" spans="1:10" ht="15" x14ac:dyDescent="0.2">
      <c r="A33" s="15"/>
      <c r="B33" s="385" t="s">
        <v>97</v>
      </c>
      <c r="C33" s="386"/>
      <c r="D33" s="126"/>
      <c r="E33" s="131"/>
      <c r="F33" s="387"/>
      <c r="G33" s="388"/>
      <c r="H33" s="388"/>
      <c r="I33" s="389"/>
      <c r="J33" s="14"/>
    </row>
    <row r="34" spans="1:10" ht="15" x14ac:dyDescent="0.2">
      <c r="A34" s="15"/>
      <c r="B34" s="390" t="s">
        <v>98</v>
      </c>
      <c r="C34" s="391"/>
      <c r="D34" s="132"/>
      <c r="E34" s="133"/>
      <c r="F34" s="387"/>
      <c r="G34" s="388"/>
      <c r="H34" s="388"/>
      <c r="I34" s="389"/>
      <c r="J34" s="14"/>
    </row>
    <row r="35" spans="1:10" ht="15" x14ac:dyDescent="0.2">
      <c r="A35" s="15"/>
      <c r="B35" s="390" t="s">
        <v>99</v>
      </c>
      <c r="C35" s="391"/>
      <c r="D35" s="132"/>
      <c r="E35" s="133"/>
      <c r="F35" s="387"/>
      <c r="G35" s="388"/>
      <c r="H35" s="388"/>
      <c r="I35" s="389"/>
      <c r="J35" s="14"/>
    </row>
    <row r="36" spans="1:10" ht="13.5" thickBot="1" x14ac:dyDescent="0.25">
      <c r="A36" s="15"/>
      <c r="B36" s="379"/>
      <c r="C36" s="380"/>
      <c r="D36" s="134"/>
      <c r="E36" s="135"/>
      <c r="F36" s="381"/>
      <c r="G36" s="382"/>
      <c r="H36" s="382"/>
      <c r="I36" s="383"/>
      <c r="J36" s="14"/>
    </row>
    <row r="37" spans="1:10" x14ac:dyDescent="0.2">
      <c r="A37" s="15"/>
      <c r="B37" s="13"/>
      <c r="C37" s="13"/>
      <c r="D37" s="13"/>
      <c r="E37" s="13"/>
      <c r="F37" s="13"/>
      <c r="G37" s="13"/>
      <c r="H37" s="13"/>
      <c r="I37" s="13"/>
      <c r="J37" s="14"/>
    </row>
    <row r="38" spans="1:10" x14ac:dyDescent="0.2">
      <c r="A38" s="15"/>
      <c r="B38" s="13"/>
      <c r="C38" s="13"/>
      <c r="D38" s="13"/>
      <c r="E38" s="13"/>
      <c r="F38" s="13"/>
      <c r="G38" s="13"/>
      <c r="H38" s="13"/>
      <c r="I38" s="13"/>
      <c r="J38" s="14"/>
    </row>
    <row r="39" spans="1:10" ht="14.25" x14ac:dyDescent="0.2">
      <c r="A39" s="384" t="s">
        <v>100</v>
      </c>
      <c r="B39" s="378"/>
      <c r="C39" s="13"/>
      <c r="D39" s="13"/>
      <c r="E39" s="13"/>
      <c r="F39" s="13"/>
      <c r="G39" s="13"/>
      <c r="H39" s="13"/>
      <c r="I39" s="13"/>
      <c r="J39" s="14"/>
    </row>
    <row r="40" spans="1:10" x14ac:dyDescent="0.2">
      <c r="A40" s="376"/>
      <c r="B40" s="377"/>
      <c r="C40" s="377"/>
      <c r="D40" s="377"/>
      <c r="E40" s="377"/>
      <c r="F40" s="377"/>
      <c r="G40" s="377"/>
      <c r="H40" s="377"/>
      <c r="I40" s="377"/>
      <c r="J40" s="14"/>
    </row>
    <row r="41" spans="1:10" x14ac:dyDescent="0.2">
      <c r="A41" s="376"/>
      <c r="B41" s="377"/>
      <c r="C41" s="377"/>
      <c r="D41" s="377"/>
      <c r="E41" s="377"/>
      <c r="F41" s="377"/>
      <c r="G41" s="377"/>
      <c r="H41" s="377"/>
      <c r="I41" s="377"/>
      <c r="J41" s="14"/>
    </row>
    <row r="42" spans="1:10" x14ac:dyDescent="0.2">
      <c r="A42" s="376"/>
      <c r="B42" s="377"/>
      <c r="C42" s="377"/>
      <c r="D42" s="377"/>
      <c r="E42" s="377"/>
      <c r="F42" s="377"/>
      <c r="G42" s="377"/>
      <c r="H42" s="377"/>
      <c r="I42" s="377"/>
      <c r="J42" s="14"/>
    </row>
    <row r="43" spans="1:10" x14ac:dyDescent="0.2">
      <c r="A43" s="376"/>
      <c r="B43" s="377"/>
      <c r="C43" s="377"/>
      <c r="D43" s="377"/>
      <c r="E43" s="377"/>
      <c r="F43" s="377"/>
      <c r="G43" s="377"/>
      <c r="H43" s="377"/>
      <c r="I43" s="377"/>
      <c r="J43" s="14"/>
    </row>
    <row r="44" spans="1:10" x14ac:dyDescent="0.2">
      <c r="A44" s="376"/>
      <c r="B44" s="377"/>
      <c r="C44" s="377"/>
      <c r="D44" s="377"/>
      <c r="E44" s="377"/>
      <c r="F44" s="377"/>
      <c r="G44" s="377"/>
      <c r="H44" s="377"/>
      <c r="I44" s="377"/>
      <c r="J44" s="14"/>
    </row>
    <row r="45" spans="1:10" x14ac:dyDescent="0.2">
      <c r="A45" s="376"/>
      <c r="B45" s="377"/>
      <c r="C45" s="377"/>
      <c r="D45" s="377"/>
      <c r="E45" s="377"/>
      <c r="F45" s="377"/>
      <c r="G45" s="377"/>
      <c r="H45" s="377"/>
      <c r="I45" s="377"/>
      <c r="J45" s="14"/>
    </row>
    <row r="46" spans="1:10" ht="14.25" x14ac:dyDescent="0.2">
      <c r="A46" s="384" t="s">
        <v>101</v>
      </c>
      <c r="B46" s="378"/>
      <c r="C46" s="13"/>
      <c r="D46" s="13"/>
      <c r="E46" s="13"/>
      <c r="F46" s="13"/>
      <c r="G46" s="13"/>
      <c r="H46" s="13"/>
      <c r="I46" s="13"/>
      <c r="J46" s="14"/>
    </row>
    <row r="47" spans="1:10" x14ac:dyDescent="0.2">
      <c r="A47" s="376"/>
      <c r="B47" s="377"/>
      <c r="C47" s="377"/>
      <c r="D47" s="377"/>
      <c r="E47" s="377"/>
      <c r="F47" s="377"/>
      <c r="G47" s="377"/>
      <c r="H47" s="377"/>
      <c r="I47" s="377"/>
      <c r="J47" s="14"/>
    </row>
    <row r="48" spans="1:10" x14ac:dyDescent="0.2">
      <c r="A48" s="376"/>
      <c r="B48" s="377"/>
      <c r="C48" s="377"/>
      <c r="D48" s="377"/>
      <c r="E48" s="377"/>
      <c r="F48" s="377"/>
      <c r="G48" s="377"/>
      <c r="H48" s="377"/>
      <c r="I48" s="377"/>
      <c r="J48" s="14"/>
    </row>
    <row r="49" spans="1:10" x14ac:dyDescent="0.2">
      <c r="A49" s="376"/>
      <c r="B49" s="377"/>
      <c r="C49" s="377"/>
      <c r="D49" s="377"/>
      <c r="E49" s="377"/>
      <c r="F49" s="377"/>
      <c r="G49" s="377"/>
      <c r="H49" s="377"/>
      <c r="I49" s="377"/>
      <c r="J49" s="14"/>
    </row>
    <row r="50" spans="1:10" x14ac:dyDescent="0.2">
      <c r="A50" s="376"/>
      <c r="B50" s="377"/>
      <c r="C50" s="377"/>
      <c r="D50" s="377"/>
      <c r="E50" s="377"/>
      <c r="F50" s="377"/>
      <c r="G50" s="377"/>
      <c r="H50" s="377"/>
      <c r="I50" s="377"/>
      <c r="J50" s="14"/>
    </row>
    <row r="51" spans="1:10" x14ac:dyDescent="0.2">
      <c r="A51" s="376"/>
      <c r="B51" s="377"/>
      <c r="C51" s="377"/>
      <c r="D51" s="377"/>
      <c r="E51" s="377"/>
      <c r="F51" s="377"/>
      <c r="G51" s="377"/>
      <c r="H51" s="377"/>
      <c r="I51" s="377"/>
      <c r="J51" s="14"/>
    </row>
    <row r="52" spans="1:10" x14ac:dyDescent="0.2">
      <c r="A52" s="376"/>
      <c r="B52" s="377"/>
      <c r="C52" s="377"/>
      <c r="D52" s="377"/>
      <c r="E52" s="377"/>
      <c r="F52" s="377"/>
      <c r="G52" s="377"/>
      <c r="H52" s="377"/>
      <c r="I52" s="377"/>
      <c r="J52" s="14"/>
    </row>
    <row r="53" spans="1:10" ht="14.25" x14ac:dyDescent="0.2">
      <c r="A53" s="15"/>
      <c r="B53" s="13"/>
      <c r="C53" s="13"/>
      <c r="D53" s="13"/>
      <c r="E53" s="13"/>
      <c r="F53" s="7" t="s">
        <v>102</v>
      </c>
      <c r="G53" s="378"/>
      <c r="H53" s="378"/>
      <c r="I53" s="378"/>
      <c r="J53" s="14"/>
    </row>
    <row r="54" spans="1:10" ht="13.5" thickBot="1" x14ac:dyDescent="0.25">
      <c r="A54" s="16"/>
      <c r="B54" s="17"/>
      <c r="C54" s="17"/>
      <c r="D54" s="17"/>
      <c r="E54" s="17"/>
      <c r="F54" s="17"/>
      <c r="G54" s="17"/>
      <c r="H54" s="17"/>
      <c r="I54" s="17"/>
      <c r="J54" s="18"/>
    </row>
    <row r="59" spans="1:10" x14ac:dyDescent="0.2">
      <c r="E59" s="4" t="s">
        <v>103</v>
      </c>
    </row>
  </sheetData>
  <mergeCells count="67">
    <mergeCell ref="A1:F1"/>
    <mergeCell ref="G1:J1"/>
    <mergeCell ref="A2:J3"/>
    <mergeCell ref="A4:B5"/>
    <mergeCell ref="C4:E5"/>
    <mergeCell ref="F4:H5"/>
    <mergeCell ref="I4:J5"/>
    <mergeCell ref="A6:B6"/>
    <mergeCell ref="H6:J6"/>
    <mergeCell ref="B8:C8"/>
    <mergeCell ref="D8:E8"/>
    <mergeCell ref="F8:G8"/>
    <mergeCell ref="H8:I8"/>
    <mergeCell ref="B20:F20"/>
    <mergeCell ref="H20:I20"/>
    <mergeCell ref="B9:C9"/>
    <mergeCell ref="D9:E9"/>
    <mergeCell ref="F9:G9"/>
    <mergeCell ref="H9:I9"/>
    <mergeCell ref="E13:F13"/>
    <mergeCell ref="E14:I14"/>
    <mergeCell ref="E15:I15"/>
    <mergeCell ref="E16:I16"/>
    <mergeCell ref="E17:I17"/>
    <mergeCell ref="B19:F19"/>
    <mergeCell ref="H19:I19"/>
    <mergeCell ref="F29:I29"/>
    <mergeCell ref="B21:F21"/>
    <mergeCell ref="H21:I21"/>
    <mergeCell ref="B22:F22"/>
    <mergeCell ref="H22:I22"/>
    <mergeCell ref="B23:F23"/>
    <mergeCell ref="H23:I23"/>
    <mergeCell ref="B24:F24"/>
    <mergeCell ref="H24:I24"/>
    <mergeCell ref="B25:F25"/>
    <mergeCell ref="H25:I25"/>
    <mergeCell ref="A27:B27"/>
    <mergeCell ref="B30:C30"/>
    <mergeCell ref="F30:I30"/>
    <mergeCell ref="B31:C31"/>
    <mergeCell ref="F31:I31"/>
    <mergeCell ref="B32:C32"/>
    <mergeCell ref="F32:I32"/>
    <mergeCell ref="B33:C33"/>
    <mergeCell ref="F33:I33"/>
    <mergeCell ref="B34:C34"/>
    <mergeCell ref="F34:I34"/>
    <mergeCell ref="B35:C35"/>
    <mergeCell ref="F35:I35"/>
    <mergeCell ref="A48:I48"/>
    <mergeCell ref="B36:C36"/>
    <mergeCell ref="F36:I36"/>
    <mergeCell ref="A39:B39"/>
    <mergeCell ref="A40:I40"/>
    <mergeCell ref="A41:I41"/>
    <mergeCell ref="A42:I42"/>
    <mergeCell ref="A43:I43"/>
    <mergeCell ref="A44:I44"/>
    <mergeCell ref="A45:I45"/>
    <mergeCell ref="A46:B46"/>
    <mergeCell ref="A47:I47"/>
    <mergeCell ref="A49:I49"/>
    <mergeCell ref="A50:I50"/>
    <mergeCell ref="A51:I51"/>
    <mergeCell ref="A52:I52"/>
    <mergeCell ref="G53:I53"/>
  </mergeCells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E7B5-408A-4508-9E58-085A6EFB3BDE}">
  <dimension ref="A1:BF98"/>
  <sheetViews>
    <sheetView view="pageBreakPreview" topLeftCell="AJ1" zoomScale="80" zoomScaleNormal="80" zoomScaleSheetLayoutView="80" workbookViewId="0">
      <selection activeCell="AP7" sqref="AP7"/>
    </sheetView>
  </sheetViews>
  <sheetFormatPr baseColWidth="10" defaultColWidth="11.42578125" defaultRowHeight="12.75" x14ac:dyDescent="0.2"/>
  <cols>
    <col min="1" max="10" width="11.42578125" style="4"/>
    <col min="11" max="11" width="8.7109375" style="4" bestFit="1" customWidth="1"/>
    <col min="12" max="12" width="11.5703125" style="4" customWidth="1"/>
    <col min="13" max="13" width="9.28515625" style="4" customWidth="1"/>
    <col min="14" max="14" width="11.28515625" style="4" customWidth="1"/>
    <col min="15" max="15" width="11.85546875" style="4" bestFit="1" customWidth="1"/>
    <col min="16" max="16" width="6.7109375" style="4" customWidth="1"/>
    <col min="17" max="17" width="20" style="4" customWidth="1"/>
    <col min="18" max="18" width="36.7109375" style="4" customWidth="1"/>
    <col min="19" max="20" width="11.42578125" style="4"/>
    <col min="21" max="23" width="11.85546875" style="4" customWidth="1"/>
    <col min="24" max="25" width="13.140625" style="4" customWidth="1"/>
    <col min="26" max="26" width="31.85546875" style="4" customWidth="1"/>
    <col min="27" max="27" width="8.7109375" style="4" bestFit="1" customWidth="1"/>
    <col min="28" max="28" width="11.5703125" style="4" customWidth="1"/>
    <col min="29" max="29" width="9.28515625" style="4" customWidth="1"/>
    <col min="30" max="30" width="11.28515625" style="4" customWidth="1"/>
    <col min="31" max="31" width="11.85546875" style="4" bestFit="1" customWidth="1"/>
    <col min="32" max="32" width="6.7109375" style="4" customWidth="1"/>
    <col min="33" max="33" width="20" style="4" customWidth="1"/>
    <col min="34" max="34" width="37.28515625" style="4" customWidth="1"/>
    <col min="35" max="36" width="11.42578125" style="4"/>
    <col min="37" max="39" width="11.85546875" style="4" customWidth="1"/>
    <col min="40" max="41" width="13.140625" style="4" customWidth="1"/>
    <col min="42" max="42" width="32" style="4" customWidth="1"/>
    <col min="43" max="43" width="8.7109375" style="4" bestFit="1" customWidth="1"/>
    <col min="44" max="44" width="11.5703125" style="4" customWidth="1"/>
    <col min="45" max="45" width="9.28515625" style="4" customWidth="1"/>
    <col min="46" max="46" width="11.28515625" style="4" customWidth="1"/>
    <col min="47" max="47" width="11.85546875" style="4" bestFit="1" customWidth="1"/>
    <col min="48" max="48" width="6.7109375" style="4" customWidth="1"/>
    <col min="49" max="49" width="20" style="4" customWidth="1"/>
    <col min="50" max="50" width="24.42578125" style="4" customWidth="1"/>
    <col min="51" max="52" width="11.42578125" style="4"/>
    <col min="53" max="55" width="11.85546875" style="4" customWidth="1"/>
    <col min="56" max="57" width="13.140625" style="4" customWidth="1"/>
    <col min="58" max="58" width="24.140625" style="4" customWidth="1"/>
    <col min="59" max="16384" width="11.42578125" style="4"/>
  </cols>
  <sheetData>
    <row r="1" spans="1:58" s="5" customFormat="1" ht="0.75" customHeight="1" thickBot="1" x14ac:dyDescent="0.3">
      <c r="A1" s="4"/>
      <c r="B1" s="4"/>
      <c r="C1" s="4"/>
      <c r="D1" s="4"/>
      <c r="E1" s="4"/>
      <c r="F1" s="4"/>
      <c r="G1" s="4"/>
      <c r="K1" s="4"/>
      <c r="L1" s="4"/>
      <c r="M1" s="4"/>
      <c r="N1" s="4"/>
      <c r="O1" s="4"/>
      <c r="P1" s="4"/>
      <c r="Q1" s="4"/>
    </row>
    <row r="2" spans="1:58" ht="16.5" customHeight="1" x14ac:dyDescent="0.25">
      <c r="A2" s="368" t="s">
        <v>29</v>
      </c>
      <c r="B2" s="369"/>
      <c r="C2" s="369"/>
      <c r="D2" s="369"/>
      <c r="E2" s="369"/>
      <c r="F2" s="369"/>
      <c r="G2" s="373" t="s">
        <v>148</v>
      </c>
      <c r="H2" s="371"/>
      <c r="I2" s="371"/>
      <c r="J2" s="374"/>
      <c r="K2" s="368" t="s">
        <v>29</v>
      </c>
      <c r="L2" s="369"/>
      <c r="M2" s="369"/>
      <c r="N2" s="369"/>
      <c r="O2" s="369"/>
      <c r="P2" s="369"/>
      <c r="Q2" s="373" t="str">
        <f>'CROQUIS '!G2</f>
        <v>Fabricant : EV FASHION</v>
      </c>
      <c r="R2" s="374"/>
      <c r="S2" s="368" t="s">
        <v>29</v>
      </c>
      <c r="T2" s="369"/>
      <c r="U2" s="369"/>
      <c r="V2" s="369"/>
      <c r="W2" s="369"/>
      <c r="X2" s="369"/>
      <c r="Y2" s="373" t="str">
        <f>Q2</f>
        <v>Fabricant : EV FASHION</v>
      </c>
      <c r="Z2" s="374"/>
      <c r="AA2" s="368" t="s">
        <v>29</v>
      </c>
      <c r="AB2" s="369"/>
      <c r="AC2" s="369"/>
      <c r="AD2" s="369"/>
      <c r="AE2" s="369"/>
      <c r="AF2" s="369"/>
      <c r="AG2" s="373" t="str">
        <f>Y2</f>
        <v>Fabricant : EV FASHION</v>
      </c>
      <c r="AH2" s="374"/>
      <c r="AI2" s="368" t="s">
        <v>29</v>
      </c>
      <c r="AJ2" s="369"/>
      <c r="AK2" s="369"/>
      <c r="AL2" s="369"/>
      <c r="AM2" s="369"/>
      <c r="AN2" s="369"/>
      <c r="AO2" s="373" t="str">
        <f>AG2</f>
        <v>Fabricant : EV FASHION</v>
      </c>
      <c r="AP2" s="374"/>
      <c r="AQ2" s="368" t="s">
        <v>29</v>
      </c>
      <c r="AR2" s="369"/>
      <c r="AS2" s="369"/>
      <c r="AT2" s="369"/>
      <c r="AU2" s="369"/>
      <c r="AV2" s="369"/>
      <c r="AW2" s="373" t="str">
        <f>AO2</f>
        <v>Fabricant : EV FASHION</v>
      </c>
      <c r="AX2" s="374"/>
      <c r="AY2" s="368" t="s">
        <v>29</v>
      </c>
      <c r="AZ2" s="369"/>
      <c r="BA2" s="369"/>
      <c r="BB2" s="369"/>
      <c r="BC2" s="369"/>
      <c r="BD2" s="369"/>
      <c r="BE2" s="373" t="str">
        <f>AW2</f>
        <v>Fabricant : EV FASHION</v>
      </c>
      <c r="BF2" s="374"/>
    </row>
    <row r="3" spans="1:58" ht="12.75" customHeight="1" x14ac:dyDescent="0.2">
      <c r="A3" s="426" t="s">
        <v>79</v>
      </c>
      <c r="B3" s="362"/>
      <c r="C3" s="362"/>
      <c r="D3" s="362"/>
      <c r="E3" s="362"/>
      <c r="F3" s="362"/>
      <c r="G3" s="362"/>
      <c r="H3" s="362"/>
      <c r="I3" s="362"/>
      <c r="J3" s="427"/>
      <c r="K3" s="426" t="s">
        <v>34</v>
      </c>
      <c r="L3" s="362"/>
      <c r="M3" s="362"/>
      <c r="N3" s="362"/>
      <c r="O3" s="362"/>
      <c r="P3" s="362"/>
      <c r="Q3" s="362"/>
      <c r="R3" s="427"/>
      <c r="S3" s="426" t="s">
        <v>34</v>
      </c>
      <c r="T3" s="362"/>
      <c r="U3" s="362"/>
      <c r="V3" s="362"/>
      <c r="W3" s="362"/>
      <c r="X3" s="362"/>
      <c r="Y3" s="362"/>
      <c r="Z3" s="427"/>
      <c r="AA3" s="426" t="s">
        <v>34</v>
      </c>
      <c r="AB3" s="362"/>
      <c r="AC3" s="362"/>
      <c r="AD3" s="362"/>
      <c r="AE3" s="362"/>
      <c r="AF3" s="362"/>
      <c r="AG3" s="362"/>
      <c r="AH3" s="427"/>
      <c r="AI3" s="426" t="s">
        <v>34</v>
      </c>
      <c r="AJ3" s="362"/>
      <c r="AK3" s="362"/>
      <c r="AL3" s="362"/>
      <c r="AM3" s="362"/>
      <c r="AN3" s="362"/>
      <c r="AO3" s="362"/>
      <c r="AP3" s="427"/>
      <c r="AQ3" s="426" t="s">
        <v>34</v>
      </c>
      <c r="AR3" s="362"/>
      <c r="AS3" s="362"/>
      <c r="AT3" s="362"/>
      <c r="AU3" s="362"/>
      <c r="AV3" s="362"/>
      <c r="AW3" s="362"/>
      <c r="AX3" s="427"/>
      <c r="AY3" s="426" t="s">
        <v>34</v>
      </c>
      <c r="AZ3" s="362"/>
      <c r="BA3" s="362"/>
      <c r="BB3" s="362"/>
      <c r="BC3" s="362"/>
      <c r="BD3" s="362"/>
      <c r="BE3" s="362"/>
      <c r="BF3" s="427"/>
    </row>
    <row r="4" spans="1:58" ht="14.25" customHeight="1" x14ac:dyDescent="0.2">
      <c r="A4" s="428"/>
      <c r="B4" s="429"/>
      <c r="C4" s="429"/>
      <c r="D4" s="429"/>
      <c r="E4" s="429"/>
      <c r="F4" s="429"/>
      <c r="G4" s="362"/>
      <c r="H4" s="362"/>
      <c r="I4" s="362"/>
      <c r="J4" s="430"/>
      <c r="K4" s="428"/>
      <c r="L4" s="429"/>
      <c r="M4" s="429"/>
      <c r="N4" s="429"/>
      <c r="O4" s="429"/>
      <c r="P4" s="429"/>
      <c r="Q4" s="362"/>
      <c r="R4" s="430"/>
      <c r="S4" s="428"/>
      <c r="T4" s="429"/>
      <c r="U4" s="429"/>
      <c r="V4" s="429"/>
      <c r="W4" s="429"/>
      <c r="X4" s="429"/>
      <c r="Y4" s="362"/>
      <c r="Z4" s="430"/>
      <c r="AA4" s="428"/>
      <c r="AB4" s="429"/>
      <c r="AC4" s="429"/>
      <c r="AD4" s="429"/>
      <c r="AE4" s="429"/>
      <c r="AF4" s="429"/>
      <c r="AG4" s="362"/>
      <c r="AH4" s="430"/>
      <c r="AI4" s="428"/>
      <c r="AJ4" s="429"/>
      <c r="AK4" s="429"/>
      <c r="AL4" s="429"/>
      <c r="AM4" s="429"/>
      <c r="AN4" s="429"/>
      <c r="AO4" s="362"/>
      <c r="AP4" s="430"/>
      <c r="AQ4" s="428"/>
      <c r="AR4" s="429"/>
      <c r="AS4" s="429"/>
      <c r="AT4" s="429"/>
      <c r="AU4" s="429"/>
      <c r="AV4" s="429"/>
      <c r="AW4" s="362"/>
      <c r="AX4" s="430"/>
      <c r="AY4" s="428"/>
      <c r="AZ4" s="429"/>
      <c r="BA4" s="429"/>
      <c r="BB4" s="429"/>
      <c r="BC4" s="429"/>
      <c r="BD4" s="429"/>
      <c r="BE4" s="362"/>
      <c r="BF4" s="430"/>
    </row>
    <row r="5" spans="1:58" s="6" customFormat="1" ht="14.25" customHeight="1" x14ac:dyDescent="0.2">
      <c r="A5" s="431" t="str">
        <f>K5</f>
        <v>Thème :  1EVA32</v>
      </c>
      <c r="B5" s="432"/>
      <c r="C5" s="435" t="str">
        <f>M5</f>
        <v>Modèle : V09413 BELL</v>
      </c>
      <c r="D5" s="436"/>
      <c r="E5" s="432"/>
      <c r="F5" s="435" t="s">
        <v>40</v>
      </c>
      <c r="G5" s="436"/>
      <c r="H5" s="432"/>
      <c r="I5" s="435" t="str">
        <f>R5</f>
        <v>Saison : 26H</v>
      </c>
      <c r="J5" s="439"/>
      <c r="K5" s="431" t="str">
        <f>'CROQUIS '!E5</f>
        <v>Thème :  1EVA32</v>
      </c>
      <c r="L5" s="432"/>
      <c r="M5" s="435" t="str">
        <f>'CROQUIS '!G5</f>
        <v>Modèle : V09413 BELL</v>
      </c>
      <c r="N5" s="436"/>
      <c r="O5" s="432"/>
      <c r="P5" s="436" t="s">
        <v>40</v>
      </c>
      <c r="Q5" s="432"/>
      <c r="R5" s="461" t="str">
        <f>'CROQUIS '!C5</f>
        <v>Saison : 26H</v>
      </c>
      <c r="S5" s="431" t="str">
        <f>K5</f>
        <v>Thème :  1EVA32</v>
      </c>
      <c r="T5" s="432"/>
      <c r="U5" s="435" t="str">
        <f>M5</f>
        <v>Modèle : V09413 BELL</v>
      </c>
      <c r="V5" s="436"/>
      <c r="W5" s="432"/>
      <c r="X5" s="436" t="s">
        <v>40</v>
      </c>
      <c r="Y5" s="432"/>
      <c r="Z5" s="461" t="str">
        <f>R5</f>
        <v>Saison : 26H</v>
      </c>
      <c r="AA5" s="431" t="str">
        <f>K5</f>
        <v>Thème :  1EVA32</v>
      </c>
      <c r="AB5" s="432"/>
      <c r="AC5" s="435" t="str">
        <f>M5</f>
        <v>Modèle : V09413 BELL</v>
      </c>
      <c r="AD5" s="436"/>
      <c r="AE5" s="432"/>
      <c r="AF5" s="436" t="s">
        <v>40</v>
      </c>
      <c r="AG5" s="432"/>
      <c r="AH5" s="461" t="str">
        <f>R5</f>
        <v>Saison : 26H</v>
      </c>
      <c r="AI5" s="431" t="str">
        <f>K5</f>
        <v>Thème :  1EVA32</v>
      </c>
      <c r="AJ5" s="432"/>
      <c r="AK5" s="435" t="str">
        <f>M5</f>
        <v>Modèle : V09413 BELL</v>
      </c>
      <c r="AL5" s="436"/>
      <c r="AM5" s="432"/>
      <c r="AN5" s="436" t="s">
        <v>40</v>
      </c>
      <c r="AO5" s="432"/>
      <c r="AP5" s="461" t="str">
        <f>R5</f>
        <v>Saison : 26H</v>
      </c>
      <c r="AQ5" s="431" t="str">
        <f>K5</f>
        <v>Thème :  1EVA32</v>
      </c>
      <c r="AR5" s="432"/>
      <c r="AS5" s="435" t="str">
        <f>M5</f>
        <v>Modèle : V09413 BELL</v>
      </c>
      <c r="AT5" s="436"/>
      <c r="AU5" s="432"/>
      <c r="AV5" s="436" t="s">
        <v>40</v>
      </c>
      <c r="AW5" s="432"/>
      <c r="AX5" s="461" t="str">
        <f>R5</f>
        <v>Saison : 26H</v>
      </c>
      <c r="AY5" s="431" t="str">
        <f>K5</f>
        <v>Thème :  1EVA32</v>
      </c>
      <c r="AZ5" s="432"/>
      <c r="BA5" s="435" t="str">
        <f>M5</f>
        <v>Modèle : V09413 BELL</v>
      </c>
      <c r="BB5" s="436"/>
      <c r="BC5" s="432"/>
      <c r="BD5" s="436" t="s">
        <v>40</v>
      </c>
      <c r="BE5" s="432"/>
      <c r="BF5" s="461" t="str">
        <f>R5</f>
        <v>Saison : 26H</v>
      </c>
    </row>
    <row r="6" spans="1:58" s="6" customFormat="1" ht="13.5" customHeight="1" thickBot="1" x14ac:dyDescent="0.25">
      <c r="A6" s="433"/>
      <c r="B6" s="434"/>
      <c r="C6" s="437"/>
      <c r="D6" s="438"/>
      <c r="E6" s="434"/>
      <c r="F6" s="437"/>
      <c r="G6" s="438"/>
      <c r="H6" s="434"/>
      <c r="I6" s="437"/>
      <c r="J6" s="440"/>
      <c r="K6" s="457"/>
      <c r="L6" s="458"/>
      <c r="M6" s="459"/>
      <c r="N6" s="460"/>
      <c r="O6" s="458"/>
      <c r="P6" s="460"/>
      <c r="Q6" s="458"/>
      <c r="R6" s="461"/>
      <c r="S6" s="457"/>
      <c r="T6" s="458"/>
      <c r="U6" s="459"/>
      <c r="V6" s="460"/>
      <c r="W6" s="458"/>
      <c r="X6" s="460"/>
      <c r="Y6" s="458"/>
      <c r="Z6" s="461"/>
      <c r="AA6" s="457"/>
      <c r="AB6" s="458"/>
      <c r="AC6" s="459"/>
      <c r="AD6" s="460"/>
      <c r="AE6" s="458"/>
      <c r="AF6" s="460"/>
      <c r="AG6" s="458"/>
      <c r="AH6" s="461"/>
      <c r="AI6" s="457"/>
      <c r="AJ6" s="458"/>
      <c r="AK6" s="459"/>
      <c r="AL6" s="460"/>
      <c r="AM6" s="458"/>
      <c r="AN6" s="460"/>
      <c r="AO6" s="458"/>
      <c r="AP6" s="461"/>
      <c r="AQ6" s="457"/>
      <c r="AR6" s="458"/>
      <c r="AS6" s="459"/>
      <c r="AT6" s="460"/>
      <c r="AU6" s="458"/>
      <c r="AV6" s="460"/>
      <c r="AW6" s="458"/>
      <c r="AX6" s="461"/>
      <c r="AY6" s="457"/>
      <c r="AZ6" s="458"/>
      <c r="BA6" s="459"/>
      <c r="BB6" s="460"/>
      <c r="BC6" s="458"/>
      <c r="BD6" s="460"/>
      <c r="BE6" s="458"/>
      <c r="BF6" s="461"/>
    </row>
    <row r="7" spans="1:58" ht="42.75" customHeight="1" thickBot="1" x14ac:dyDescent="0.25">
      <c r="A7" s="384" t="s">
        <v>80</v>
      </c>
      <c r="B7" s="378"/>
      <c r="C7" s="7"/>
      <c r="D7" s="7"/>
      <c r="E7" s="7"/>
      <c r="F7" s="7"/>
      <c r="G7" s="7"/>
      <c r="H7" s="422" t="s">
        <v>149</v>
      </c>
      <c r="I7" s="423"/>
      <c r="J7" s="424"/>
      <c r="K7" s="453" t="s">
        <v>30</v>
      </c>
      <c r="L7" s="453"/>
      <c r="M7" s="453"/>
      <c r="N7" s="453"/>
      <c r="O7" s="454"/>
      <c r="P7" s="451"/>
      <c r="Q7" s="452"/>
      <c r="R7" s="19"/>
      <c r="S7" s="453" t="s">
        <v>30</v>
      </c>
      <c r="T7" s="453"/>
      <c r="U7" s="453"/>
      <c r="V7" s="453"/>
      <c r="W7" s="454"/>
      <c r="X7" s="451"/>
      <c r="Y7" s="452"/>
      <c r="Z7" s="19"/>
      <c r="AA7" s="453" t="s">
        <v>108</v>
      </c>
      <c r="AB7" s="453"/>
      <c r="AC7" s="453"/>
      <c r="AD7" s="453"/>
      <c r="AE7" s="454"/>
      <c r="AF7" s="451"/>
      <c r="AG7" s="452"/>
      <c r="AH7" s="19"/>
      <c r="AI7" s="453" t="s">
        <v>108</v>
      </c>
      <c r="AJ7" s="453"/>
      <c r="AK7" s="453"/>
      <c r="AL7" s="453"/>
      <c r="AM7" s="454"/>
      <c r="AN7" s="451"/>
      <c r="AO7" s="452"/>
      <c r="AP7" s="19"/>
      <c r="AQ7" s="453" t="s">
        <v>46</v>
      </c>
      <c r="AR7" s="453"/>
      <c r="AS7" s="453"/>
      <c r="AT7" s="453"/>
      <c r="AU7" s="454"/>
      <c r="AV7" s="451" t="s">
        <v>107</v>
      </c>
      <c r="AW7" s="452"/>
      <c r="AX7" s="19"/>
      <c r="AY7" s="453" t="s">
        <v>46</v>
      </c>
      <c r="AZ7" s="453"/>
      <c r="BA7" s="453"/>
      <c r="BB7" s="453"/>
      <c r="BC7" s="454"/>
      <c r="BD7" s="451" t="str">
        <f>AV7</f>
        <v>N° plomb 36 : 
N° plomb 40 :</v>
      </c>
      <c r="BE7" s="452"/>
      <c r="BF7" s="19">
        <f>AX7</f>
        <v>0</v>
      </c>
    </row>
    <row r="8" spans="1:58" s="10" customFormat="1" ht="15" customHeight="1" thickBot="1" x14ac:dyDescent="0.25">
      <c r="A8" s="8"/>
      <c r="B8" s="7"/>
      <c r="C8" s="7"/>
      <c r="D8" s="7"/>
      <c r="E8" s="7"/>
      <c r="F8" s="7"/>
      <c r="G8" s="7"/>
      <c r="H8" s="7"/>
      <c r="I8" s="7"/>
      <c r="J8" s="9"/>
      <c r="K8" s="8"/>
      <c r="L8" s="7"/>
      <c r="M8" s="7"/>
      <c r="N8" s="7"/>
      <c r="O8" s="7"/>
      <c r="P8" s="7"/>
      <c r="Q8" s="7"/>
      <c r="R8" s="9"/>
      <c r="S8" s="8"/>
      <c r="T8" s="7"/>
      <c r="U8" s="7"/>
      <c r="V8" s="7"/>
      <c r="W8" s="7"/>
      <c r="X8" s="7"/>
      <c r="Y8" s="7"/>
      <c r="Z8" s="9"/>
      <c r="AA8" s="8"/>
      <c r="AB8" s="7"/>
      <c r="AC8" s="7"/>
      <c r="AD8" s="7"/>
      <c r="AE8" s="7"/>
      <c r="AF8" s="7"/>
      <c r="AG8" s="7"/>
      <c r="AH8" s="9"/>
      <c r="AI8" s="8"/>
      <c r="AJ8" s="7"/>
      <c r="AK8" s="7"/>
      <c r="AL8" s="7"/>
      <c r="AM8" s="7"/>
      <c r="AN8" s="7"/>
      <c r="AO8" s="7"/>
      <c r="AP8" s="9"/>
      <c r="AQ8" s="8"/>
      <c r="AR8" s="7"/>
      <c r="AS8" s="7"/>
      <c r="AT8" s="7"/>
      <c r="AU8" s="7"/>
      <c r="AV8" s="7"/>
      <c r="AW8" s="7"/>
      <c r="AX8" s="9"/>
      <c r="AY8" s="8"/>
      <c r="AZ8" s="7"/>
      <c r="BA8" s="7"/>
      <c r="BB8" s="7"/>
      <c r="BC8" s="7"/>
      <c r="BD8" s="7"/>
      <c r="BE8" s="7"/>
      <c r="BF8" s="9"/>
    </row>
    <row r="9" spans="1:58" s="10" customFormat="1" ht="15" customHeight="1" thickBot="1" x14ac:dyDescent="0.25">
      <c r="A9" s="8"/>
      <c r="B9" s="425" t="s">
        <v>81</v>
      </c>
      <c r="C9" s="420"/>
      <c r="D9" s="420" t="s">
        <v>82</v>
      </c>
      <c r="E9" s="420"/>
      <c r="F9" s="420" t="s">
        <v>83</v>
      </c>
      <c r="G9" s="420"/>
      <c r="H9" s="420"/>
      <c r="I9" s="421"/>
      <c r="J9" s="9"/>
      <c r="K9" s="7"/>
      <c r="L9" s="7"/>
      <c r="M9" s="7"/>
      <c r="N9" s="7"/>
      <c r="O9" s="7"/>
      <c r="P9" s="7"/>
      <c r="Q9" s="7"/>
      <c r="R9" s="9"/>
      <c r="S9" s="8"/>
      <c r="T9" s="7"/>
      <c r="U9" s="7"/>
      <c r="V9" s="7"/>
      <c r="W9" s="7"/>
      <c r="X9" s="7"/>
      <c r="Y9" s="7"/>
      <c r="Z9" s="9"/>
      <c r="AA9" s="8"/>
      <c r="AB9" s="7"/>
      <c r="AC9" s="7"/>
      <c r="AD9" s="7"/>
      <c r="AE9" s="7"/>
      <c r="AF9" s="7"/>
      <c r="AG9" s="7"/>
      <c r="AH9" s="9"/>
      <c r="AI9" s="8"/>
      <c r="AJ9" s="7"/>
      <c r="AK9" s="7"/>
      <c r="AL9" s="7"/>
      <c r="AM9" s="7"/>
      <c r="AN9" s="7"/>
      <c r="AO9" s="7"/>
      <c r="AP9" s="9"/>
      <c r="AQ9" s="8"/>
      <c r="AR9" s="7"/>
      <c r="AS9" s="7"/>
      <c r="AT9" s="7"/>
      <c r="AU9" s="7"/>
      <c r="AV9" s="7"/>
      <c r="AW9" s="7"/>
      <c r="AX9" s="9"/>
      <c r="AY9" s="8"/>
      <c r="AZ9" s="7"/>
      <c r="BA9" s="7"/>
      <c r="BB9" s="7"/>
      <c r="BC9" s="7"/>
      <c r="BD9" s="7"/>
      <c r="BE9" s="7"/>
      <c r="BF9" s="9"/>
    </row>
    <row r="10" spans="1:58" s="10" customFormat="1" ht="15" customHeight="1" thickBot="1" x14ac:dyDescent="0.25">
      <c r="A10" s="8"/>
      <c r="B10" s="441"/>
      <c r="C10" s="442"/>
      <c r="D10" s="443"/>
      <c r="E10" s="444"/>
      <c r="F10" s="443"/>
      <c r="G10" s="444"/>
      <c r="H10" s="445"/>
      <c r="I10" s="446"/>
      <c r="J10" s="9"/>
      <c r="K10" s="7"/>
      <c r="L10" s="7"/>
      <c r="M10" s="7"/>
      <c r="N10" s="7"/>
      <c r="O10" s="7"/>
      <c r="P10" s="7"/>
      <c r="Q10" s="7"/>
      <c r="R10" s="9"/>
      <c r="S10" s="8"/>
      <c r="T10" s="7"/>
      <c r="U10" s="7"/>
      <c r="V10" s="7"/>
      <c r="W10" s="7"/>
      <c r="X10" s="7"/>
      <c r="Y10" s="7"/>
      <c r="Z10" s="9"/>
      <c r="AA10" s="8"/>
      <c r="AB10" s="7"/>
      <c r="AC10" s="7"/>
      <c r="AD10" s="7"/>
      <c r="AE10" s="7"/>
      <c r="AF10" s="7"/>
      <c r="AG10" s="7"/>
      <c r="AH10" s="9"/>
      <c r="AI10" s="8"/>
      <c r="AJ10" s="7"/>
      <c r="AK10" s="7"/>
      <c r="AL10" s="7"/>
      <c r="AM10" s="7"/>
      <c r="AN10" s="7"/>
      <c r="AO10" s="7"/>
      <c r="AP10" s="9"/>
      <c r="AQ10" s="8"/>
      <c r="AR10" s="7"/>
      <c r="AS10" s="7"/>
      <c r="AT10" s="7"/>
      <c r="AU10" s="7"/>
      <c r="AV10" s="7"/>
      <c r="AW10" s="7"/>
      <c r="AX10" s="9"/>
      <c r="AY10" s="8"/>
      <c r="AZ10" s="7"/>
      <c r="BA10" s="7"/>
      <c r="BB10" s="7"/>
      <c r="BC10" s="7"/>
      <c r="BD10" s="7"/>
      <c r="BE10" s="7"/>
      <c r="BF10" s="9"/>
    </row>
    <row r="11" spans="1:58" s="10" customFormat="1" ht="15" customHeight="1" x14ac:dyDescent="0.2">
      <c r="A11" s="8"/>
      <c r="B11" s="7"/>
      <c r="C11" s="7"/>
      <c r="D11" s="7"/>
      <c r="E11" s="7"/>
      <c r="F11" s="7"/>
      <c r="G11" s="7"/>
      <c r="H11" s="7"/>
      <c r="I11" s="7"/>
      <c r="J11" s="9"/>
      <c r="K11" s="8"/>
      <c r="L11" s="7"/>
      <c r="M11" s="7"/>
      <c r="N11" s="7"/>
      <c r="O11" s="7"/>
      <c r="P11" s="7"/>
      <c r="Q11" s="7"/>
      <c r="R11" s="9"/>
      <c r="S11" s="8"/>
      <c r="T11" s="7"/>
      <c r="U11" s="7"/>
      <c r="V11" s="7"/>
      <c r="W11" s="7"/>
      <c r="X11" s="7"/>
      <c r="Y11" s="7"/>
      <c r="Z11" s="9"/>
      <c r="AA11" s="8"/>
      <c r="AB11" s="7"/>
      <c r="AC11" s="7"/>
      <c r="AD11" s="7"/>
      <c r="AE11" s="7"/>
      <c r="AF11" s="7"/>
      <c r="AG11" s="7"/>
      <c r="AH11" s="9"/>
      <c r="AI11" s="8"/>
      <c r="AJ11" s="7"/>
      <c r="AK11" s="7"/>
      <c r="AL11" s="7"/>
      <c r="AM11" s="7"/>
      <c r="AN11" s="7"/>
      <c r="AO11" s="7"/>
      <c r="AP11" s="9"/>
      <c r="AQ11" s="8"/>
      <c r="AR11" s="7"/>
      <c r="AS11" s="7"/>
      <c r="AT11" s="7"/>
      <c r="AU11" s="7"/>
      <c r="AV11" s="7"/>
      <c r="AW11" s="7"/>
      <c r="AX11" s="9"/>
      <c r="AY11" s="8"/>
      <c r="AZ11" s="7"/>
      <c r="BA11" s="7"/>
      <c r="BB11" s="7"/>
      <c r="BC11" s="7"/>
      <c r="BD11" s="7"/>
      <c r="BE11" s="7"/>
      <c r="BF11" s="9"/>
    </row>
    <row r="12" spans="1:58" s="10" customFormat="1" ht="15" customHeight="1" x14ac:dyDescent="0.2">
      <c r="A12" s="8" t="s">
        <v>84</v>
      </c>
      <c r="B12" s="7"/>
      <c r="C12" s="7"/>
      <c r="D12" s="7"/>
      <c r="E12" s="7"/>
      <c r="F12" s="7"/>
      <c r="G12" s="7"/>
      <c r="H12" s="7"/>
      <c r="I12" s="7"/>
      <c r="J12" s="9"/>
      <c r="K12" s="7"/>
      <c r="L12" s="7"/>
      <c r="M12" s="7"/>
      <c r="N12" s="7"/>
      <c r="O12" s="7"/>
      <c r="P12" s="7"/>
      <c r="Q12" s="7"/>
      <c r="R12" s="9"/>
      <c r="S12" s="8"/>
      <c r="T12" s="7"/>
      <c r="U12" s="7"/>
      <c r="V12" s="7"/>
      <c r="W12" s="7"/>
      <c r="X12" s="7"/>
      <c r="Y12" s="7"/>
      <c r="Z12" s="9"/>
      <c r="AA12" s="8"/>
      <c r="AB12" s="7"/>
      <c r="AC12" s="7"/>
      <c r="AD12" s="7"/>
      <c r="AE12" s="7"/>
      <c r="AF12" s="7"/>
      <c r="AG12" s="7"/>
      <c r="AH12" s="9"/>
      <c r="AI12" s="8"/>
      <c r="AJ12" s="7"/>
      <c r="AK12" s="7"/>
      <c r="AL12" s="7"/>
      <c r="AM12" s="7"/>
      <c r="AN12" s="7"/>
      <c r="AO12" s="7"/>
      <c r="AP12" s="9"/>
      <c r="AQ12" s="8"/>
      <c r="AR12" s="7"/>
      <c r="AS12" s="7"/>
      <c r="AT12" s="7"/>
      <c r="AU12" s="7"/>
      <c r="AV12" s="7"/>
      <c r="AW12" s="7"/>
      <c r="AX12" s="9"/>
      <c r="AY12" s="8"/>
      <c r="AZ12" s="7"/>
      <c r="BA12" s="7"/>
      <c r="BB12" s="7"/>
      <c r="BC12" s="7"/>
      <c r="BD12" s="7"/>
      <c r="BE12" s="7"/>
      <c r="BF12" s="9"/>
    </row>
    <row r="13" spans="1:58" s="10" customFormat="1" ht="15" customHeight="1" thickBot="1" x14ac:dyDescent="0.25">
      <c r="A13" s="8"/>
      <c r="B13" s="7"/>
      <c r="C13" s="7"/>
      <c r="D13" s="7"/>
      <c r="E13" s="7"/>
      <c r="F13" s="7"/>
      <c r="G13" s="7"/>
      <c r="H13" s="7"/>
      <c r="I13" s="7"/>
      <c r="J13" s="9"/>
      <c r="K13" s="7"/>
      <c r="L13" s="7"/>
      <c r="M13" s="7"/>
      <c r="N13" s="7"/>
      <c r="O13" s="7"/>
      <c r="P13" s="7"/>
      <c r="Q13" s="7"/>
      <c r="R13" s="9"/>
      <c r="S13" s="8"/>
      <c r="T13" s="7"/>
      <c r="U13" s="7"/>
      <c r="V13" s="7"/>
      <c r="W13" s="7"/>
      <c r="X13" s="7"/>
      <c r="Y13" s="7"/>
      <c r="Z13" s="9"/>
      <c r="AA13" s="8"/>
      <c r="AB13" s="7"/>
      <c r="AC13" s="7"/>
      <c r="AD13" s="7"/>
      <c r="AE13" s="7"/>
      <c r="AF13" s="7"/>
      <c r="AG13" s="7"/>
      <c r="AH13" s="9"/>
      <c r="AI13" s="8"/>
      <c r="AJ13" s="7"/>
      <c r="AK13" s="7"/>
      <c r="AL13" s="7"/>
      <c r="AM13" s="7"/>
      <c r="AN13" s="7"/>
      <c r="AO13" s="7"/>
      <c r="AP13" s="9"/>
      <c r="AQ13" s="8"/>
      <c r="AR13" s="7"/>
      <c r="AS13" s="7"/>
      <c r="AT13" s="7"/>
      <c r="AU13" s="7"/>
      <c r="AV13" s="7"/>
      <c r="AW13" s="7"/>
      <c r="AX13" s="9"/>
      <c r="AY13" s="8"/>
      <c r="AZ13" s="7"/>
      <c r="BA13" s="7"/>
      <c r="BB13" s="7"/>
      <c r="BC13" s="7"/>
      <c r="BD13" s="7"/>
      <c r="BE13" s="7"/>
      <c r="BF13" s="9"/>
    </row>
    <row r="14" spans="1:58" s="10" customFormat="1" ht="14.25" customHeight="1" x14ac:dyDescent="0.2">
      <c r="A14" s="8"/>
      <c r="B14" s="118" t="s">
        <v>85</v>
      </c>
      <c r="C14" s="237">
        <v>36</v>
      </c>
      <c r="D14" s="7"/>
      <c r="E14" s="378" t="s">
        <v>150</v>
      </c>
      <c r="F14" s="378"/>
      <c r="G14" s="7"/>
      <c r="H14" s="7"/>
      <c r="I14" s="7"/>
      <c r="J14" s="9"/>
      <c r="K14" s="8"/>
      <c r="L14" s="7"/>
      <c r="M14" s="7"/>
      <c r="N14" s="7"/>
      <c r="O14" s="7"/>
      <c r="P14" s="7"/>
      <c r="Q14" s="7"/>
      <c r="R14" s="9"/>
      <c r="S14" s="8"/>
      <c r="T14" s="7"/>
      <c r="U14" s="7"/>
      <c r="V14" s="7"/>
      <c r="W14" s="7"/>
      <c r="X14" s="7"/>
      <c r="Y14" s="7"/>
      <c r="Z14" s="9"/>
      <c r="AA14" s="8"/>
      <c r="AB14" s="7"/>
      <c r="AC14" s="7"/>
      <c r="AD14" s="7"/>
      <c r="AE14" s="7"/>
      <c r="AF14" s="7"/>
      <c r="AG14" s="7"/>
      <c r="AH14" s="9"/>
      <c r="AI14" s="8"/>
      <c r="AJ14" s="7"/>
      <c r="AK14" s="7"/>
      <c r="AL14" s="7"/>
      <c r="AM14" s="7"/>
      <c r="AN14" s="7"/>
      <c r="AO14" s="7"/>
      <c r="AP14" s="9"/>
      <c r="AQ14" s="8"/>
      <c r="AR14" s="7"/>
      <c r="AS14" s="7"/>
      <c r="AT14" s="7"/>
      <c r="AU14" s="7"/>
      <c r="AV14" s="7"/>
      <c r="AW14" s="7"/>
      <c r="AX14" s="9"/>
      <c r="AY14" s="8"/>
      <c r="AZ14" s="7"/>
      <c r="BA14" s="7"/>
      <c r="BB14" s="7"/>
      <c r="BC14" s="7"/>
      <c r="BD14" s="7"/>
      <c r="BE14" s="7"/>
      <c r="BF14" s="9"/>
    </row>
    <row r="15" spans="1:58" s="10" customFormat="1" ht="15" customHeight="1" x14ac:dyDescent="0.2">
      <c r="A15" s="8"/>
      <c r="B15" s="119" t="s">
        <v>86</v>
      </c>
      <c r="C15" s="238"/>
      <c r="D15" s="7"/>
      <c r="E15" s="7"/>
      <c r="F15" s="7"/>
      <c r="G15" s="7"/>
      <c r="H15" s="7"/>
      <c r="I15" s="7"/>
      <c r="J15" s="9"/>
      <c r="K15" s="8"/>
      <c r="L15" s="7"/>
      <c r="M15" s="7"/>
      <c r="N15" s="7"/>
      <c r="O15" s="7"/>
      <c r="P15" s="7"/>
      <c r="Q15" s="7"/>
      <c r="R15" s="9"/>
      <c r="S15" s="8"/>
      <c r="T15" s="7"/>
      <c r="U15" s="7"/>
      <c r="V15" s="7"/>
      <c r="W15" s="7"/>
      <c r="X15" s="7"/>
      <c r="Y15" s="7"/>
      <c r="Z15" s="9"/>
      <c r="AA15" s="8"/>
      <c r="AB15" s="7"/>
      <c r="AC15" s="7"/>
      <c r="AD15" s="7"/>
      <c r="AE15" s="7"/>
      <c r="AF15" s="7"/>
      <c r="AG15" s="7"/>
      <c r="AH15" s="9"/>
      <c r="AI15" s="8"/>
      <c r="AJ15" s="7"/>
      <c r="AK15" s="7"/>
      <c r="AL15" s="7"/>
      <c r="AM15" s="7"/>
      <c r="AN15" s="7"/>
      <c r="AO15" s="7"/>
      <c r="AP15" s="9"/>
      <c r="AQ15" s="8"/>
      <c r="AR15" s="7"/>
      <c r="AS15" s="7"/>
      <c r="AT15" s="7"/>
      <c r="AU15" s="7"/>
      <c r="AV15" s="7"/>
      <c r="AW15" s="7"/>
      <c r="AX15" s="9"/>
      <c r="AY15" s="8"/>
      <c r="AZ15" s="7"/>
      <c r="BA15" s="7"/>
      <c r="BB15" s="7"/>
      <c r="BC15" s="7"/>
      <c r="BD15" s="7"/>
      <c r="BE15" s="7"/>
      <c r="BF15" s="9"/>
    </row>
    <row r="16" spans="1:58" s="11" customFormat="1" ht="15" customHeight="1" x14ac:dyDescent="0.2">
      <c r="A16" s="8"/>
      <c r="B16" s="120" t="s">
        <v>87</v>
      </c>
      <c r="C16" s="190"/>
      <c r="D16" s="7"/>
      <c r="E16" s="7"/>
      <c r="F16" s="7"/>
      <c r="G16" s="7"/>
      <c r="H16" s="7"/>
      <c r="I16" s="7"/>
      <c r="J16" s="9"/>
      <c r="K16" s="8"/>
      <c r="L16" s="7"/>
      <c r="M16" s="7"/>
      <c r="N16" s="7"/>
      <c r="O16" s="7"/>
      <c r="P16" s="7"/>
      <c r="Q16" s="7"/>
      <c r="R16" s="9"/>
      <c r="S16" s="8"/>
      <c r="T16" s="7"/>
      <c r="U16" s="7"/>
      <c r="V16" s="7"/>
      <c r="W16" s="7"/>
      <c r="X16" s="7"/>
      <c r="Y16" s="7"/>
      <c r="Z16" s="9"/>
      <c r="AA16" s="8"/>
      <c r="AB16" s="7"/>
      <c r="AC16" s="7"/>
      <c r="AD16" s="7"/>
      <c r="AE16" s="7"/>
      <c r="AF16" s="7"/>
      <c r="AG16" s="7"/>
      <c r="AH16" s="9"/>
      <c r="AI16" s="8"/>
      <c r="AJ16" s="7"/>
      <c r="AK16" s="7"/>
      <c r="AL16" s="7"/>
      <c r="AM16" s="7"/>
      <c r="AN16" s="7"/>
      <c r="AO16" s="7"/>
      <c r="AP16" s="9"/>
      <c r="AQ16" s="8"/>
      <c r="AR16" s="7"/>
      <c r="AS16" s="7"/>
      <c r="AT16" s="7"/>
      <c r="AU16" s="7"/>
      <c r="AV16" s="7"/>
      <c r="AW16" s="7"/>
      <c r="AX16" s="9"/>
      <c r="AY16" s="8"/>
      <c r="AZ16" s="7"/>
      <c r="BA16" s="7"/>
      <c r="BB16" s="7"/>
      <c r="BC16" s="7"/>
      <c r="BD16" s="7"/>
      <c r="BE16" s="7"/>
      <c r="BF16" s="9"/>
    </row>
    <row r="17" spans="1:58" s="11" customFormat="1" ht="15" customHeight="1" x14ac:dyDescent="0.2">
      <c r="A17" s="8"/>
      <c r="B17" s="121" t="s">
        <v>88</v>
      </c>
      <c r="C17" s="239"/>
      <c r="D17" s="7"/>
      <c r="E17" s="7"/>
      <c r="F17" s="7"/>
      <c r="G17" s="7"/>
      <c r="H17" s="7"/>
      <c r="I17" s="7"/>
      <c r="J17" s="9"/>
      <c r="K17" s="8"/>
      <c r="L17" s="7"/>
      <c r="M17" s="7"/>
      <c r="N17" s="7"/>
      <c r="O17" s="7"/>
      <c r="P17" s="7"/>
      <c r="Q17" s="7"/>
      <c r="R17" s="9"/>
      <c r="S17" s="8"/>
      <c r="T17" s="7"/>
      <c r="U17" s="7"/>
      <c r="V17" s="7"/>
      <c r="W17" s="7"/>
      <c r="X17" s="7"/>
      <c r="Y17" s="7"/>
      <c r="Z17" s="9"/>
      <c r="AA17" s="8"/>
      <c r="AB17" s="7"/>
      <c r="AC17" s="7"/>
      <c r="AD17" s="7"/>
      <c r="AE17" s="7"/>
      <c r="AF17" s="7"/>
      <c r="AG17" s="7"/>
      <c r="AH17" s="9"/>
      <c r="AI17" s="8"/>
      <c r="AJ17" s="7"/>
      <c r="AK17" s="7"/>
      <c r="AL17" s="7"/>
      <c r="AM17" s="7"/>
      <c r="AN17" s="7"/>
      <c r="AO17" s="7"/>
      <c r="AP17" s="9"/>
      <c r="AQ17" s="8"/>
      <c r="AR17" s="7"/>
      <c r="AS17" s="7"/>
      <c r="AT17" s="7"/>
      <c r="AU17" s="7"/>
      <c r="AV17" s="7"/>
      <c r="AW17" s="7"/>
      <c r="AX17" s="9"/>
      <c r="AY17" s="8"/>
      <c r="AZ17" s="7"/>
      <c r="BA17" s="7"/>
      <c r="BB17" s="7"/>
      <c r="BC17" s="7"/>
      <c r="BD17" s="7"/>
      <c r="BE17" s="7"/>
      <c r="BF17" s="9"/>
    </row>
    <row r="18" spans="1:58" s="11" customFormat="1" ht="15" customHeight="1" thickBot="1" x14ac:dyDescent="0.25">
      <c r="A18" s="8"/>
      <c r="B18" s="123"/>
      <c r="C18" s="191"/>
      <c r="D18" s="7"/>
      <c r="E18" s="7"/>
      <c r="F18" s="7"/>
      <c r="G18" s="7"/>
      <c r="H18" s="7"/>
      <c r="I18" s="7"/>
      <c r="J18" s="9"/>
      <c r="K18" s="12"/>
      <c r="L18" s="13"/>
      <c r="M18" s="13"/>
      <c r="N18" s="13"/>
      <c r="O18" s="13"/>
      <c r="P18" s="13"/>
      <c r="Q18" s="13"/>
      <c r="R18" s="14"/>
      <c r="S18" s="12"/>
      <c r="T18" s="13"/>
      <c r="U18" s="13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3"/>
      <c r="AG18" s="13"/>
      <c r="AH18" s="14"/>
      <c r="AI18" s="12"/>
      <c r="AJ18" s="13"/>
      <c r="AK18" s="13"/>
      <c r="AL18" s="13"/>
      <c r="AM18" s="13"/>
      <c r="AN18" s="13"/>
      <c r="AO18" s="13"/>
      <c r="AP18" s="14"/>
      <c r="AQ18" s="12"/>
      <c r="AR18" s="13"/>
      <c r="AS18" s="13"/>
      <c r="AT18" s="13"/>
      <c r="AU18" s="13"/>
      <c r="AV18" s="13"/>
      <c r="AW18" s="13"/>
      <c r="AX18" s="14"/>
      <c r="AY18" s="12"/>
      <c r="AZ18" s="13"/>
      <c r="BA18" s="13"/>
      <c r="BB18" s="13"/>
      <c r="BC18" s="13"/>
      <c r="BD18" s="13"/>
      <c r="BE18" s="13"/>
      <c r="BF18" s="14"/>
    </row>
    <row r="19" spans="1:58" s="11" customFormat="1" ht="15" customHeight="1" thickBot="1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4"/>
      <c r="K19" s="15"/>
      <c r="L19" s="13"/>
      <c r="M19" s="13"/>
      <c r="N19" s="13"/>
      <c r="O19" s="13"/>
      <c r="P19" s="13"/>
      <c r="Q19" s="13"/>
      <c r="R19" s="14"/>
      <c r="S19" s="15"/>
      <c r="T19" s="13"/>
      <c r="U19" s="13"/>
      <c r="V19" s="13"/>
      <c r="W19" s="13"/>
      <c r="X19" s="13"/>
      <c r="Y19" s="13"/>
      <c r="Z19" s="14"/>
      <c r="AA19" s="15"/>
      <c r="AB19" s="13"/>
      <c r="AC19" s="13"/>
      <c r="AD19" s="13"/>
      <c r="AE19" s="13"/>
      <c r="AF19" s="13"/>
      <c r="AG19" s="13"/>
      <c r="AH19" s="14"/>
      <c r="AI19" s="15"/>
      <c r="AJ19" s="13"/>
      <c r="AK19" s="13"/>
      <c r="AL19" s="13"/>
      <c r="AM19" s="13"/>
      <c r="AN19" s="13"/>
      <c r="AO19" s="13"/>
      <c r="AP19" s="14"/>
      <c r="AQ19" s="15"/>
      <c r="AR19" s="13"/>
      <c r="AS19" s="13"/>
      <c r="AT19" s="13"/>
      <c r="AU19" s="13"/>
      <c r="AV19" s="13"/>
      <c r="AW19" s="13"/>
      <c r="AX19" s="14"/>
      <c r="AY19" s="15"/>
      <c r="AZ19" s="13"/>
      <c r="BA19" s="13"/>
      <c r="BB19" s="13"/>
      <c r="BC19" s="13"/>
      <c r="BD19" s="13"/>
      <c r="BE19" s="13"/>
      <c r="BF19" s="14"/>
    </row>
    <row r="20" spans="1:58" s="11" customFormat="1" ht="15" customHeight="1" thickBot="1" x14ac:dyDescent="0.25">
      <c r="A20" s="15"/>
      <c r="B20" s="418" t="s">
        <v>89</v>
      </c>
      <c r="C20" s="419"/>
      <c r="D20" s="419"/>
      <c r="E20" s="419"/>
      <c r="F20" s="419"/>
      <c r="G20" s="139" t="s">
        <v>90</v>
      </c>
      <c r="H20" s="420" t="s">
        <v>91</v>
      </c>
      <c r="I20" s="421"/>
      <c r="J20" s="125"/>
      <c r="K20" s="15"/>
      <c r="L20" s="13"/>
      <c r="M20" s="13"/>
      <c r="N20" s="13"/>
      <c r="O20" s="13"/>
      <c r="P20" s="13"/>
      <c r="Q20" s="13"/>
      <c r="R20" s="14"/>
      <c r="S20" s="15"/>
      <c r="T20" s="13"/>
      <c r="U20" s="13"/>
      <c r="V20" s="13"/>
      <c r="W20" s="13"/>
      <c r="X20" s="13"/>
      <c r="Y20" s="13"/>
      <c r="Z20" s="14"/>
      <c r="AA20" s="15"/>
      <c r="AB20" s="13"/>
      <c r="AC20" s="13"/>
      <c r="AD20" s="13"/>
      <c r="AE20" s="13"/>
      <c r="AF20" s="13"/>
      <c r="AG20" s="13"/>
      <c r="AH20" s="14"/>
      <c r="AI20" s="15"/>
      <c r="AJ20" s="13"/>
      <c r="AK20" s="13"/>
      <c r="AL20" s="13"/>
      <c r="AM20" s="13"/>
      <c r="AN20" s="13"/>
      <c r="AO20" s="13"/>
      <c r="AP20" s="14"/>
      <c r="AQ20" s="15"/>
      <c r="AR20" s="13"/>
      <c r="AS20" s="13"/>
      <c r="AT20" s="13"/>
      <c r="AU20" s="13"/>
      <c r="AV20" s="13"/>
      <c r="AW20" s="13"/>
      <c r="AX20" s="14"/>
      <c r="AY20" s="15"/>
      <c r="AZ20" s="13"/>
      <c r="BA20" s="13"/>
      <c r="BB20" s="13"/>
      <c r="BC20" s="13"/>
      <c r="BD20" s="13"/>
      <c r="BE20" s="13"/>
      <c r="BF20" s="14"/>
    </row>
    <row r="21" spans="1:58" s="11" customFormat="1" ht="15" customHeight="1" x14ac:dyDescent="0.2">
      <c r="A21" s="15"/>
      <c r="B21" s="447"/>
      <c r="C21" s="448"/>
      <c r="D21" s="448"/>
      <c r="E21" s="448"/>
      <c r="F21" s="448"/>
      <c r="G21" s="192"/>
      <c r="H21" s="412"/>
      <c r="I21" s="413"/>
      <c r="J21" s="14"/>
      <c r="K21" s="15"/>
      <c r="L21" s="13"/>
      <c r="M21" s="13"/>
      <c r="N21" s="13"/>
      <c r="O21" s="13"/>
      <c r="P21" s="13"/>
      <c r="Q21" s="13"/>
      <c r="R21" s="14"/>
      <c r="S21" s="15"/>
      <c r="T21" s="13"/>
      <c r="U21" s="13"/>
      <c r="V21" s="13"/>
      <c r="W21" s="13"/>
      <c r="X21" s="13"/>
      <c r="Y21" s="13"/>
      <c r="Z21" s="14"/>
      <c r="AA21" s="15"/>
      <c r="AB21" s="13"/>
      <c r="AC21" s="13"/>
      <c r="AD21" s="13"/>
      <c r="AE21" s="13"/>
      <c r="AF21" s="13"/>
      <c r="AG21" s="13"/>
      <c r="AH21" s="14"/>
      <c r="AI21" s="15"/>
      <c r="AJ21" s="13"/>
      <c r="AK21" s="13"/>
      <c r="AL21" s="13"/>
      <c r="AM21" s="13"/>
      <c r="AN21" s="13"/>
      <c r="AO21" s="13"/>
      <c r="AP21" s="14"/>
      <c r="AQ21" s="15"/>
      <c r="AR21" s="13"/>
      <c r="AS21" s="13"/>
      <c r="AT21" s="13"/>
      <c r="AU21" s="13"/>
      <c r="AV21" s="13"/>
      <c r="AW21" s="13"/>
      <c r="AX21" s="14"/>
      <c r="AY21" s="15"/>
      <c r="AZ21" s="13"/>
      <c r="BA21" s="13"/>
      <c r="BB21" s="13"/>
      <c r="BC21" s="13"/>
      <c r="BD21" s="13"/>
      <c r="BE21" s="13"/>
      <c r="BF21" s="14"/>
    </row>
    <row r="22" spans="1:58" s="11" customFormat="1" ht="15" customHeight="1" x14ac:dyDescent="0.2">
      <c r="A22" s="15"/>
      <c r="B22" s="455"/>
      <c r="C22" s="456"/>
      <c r="D22" s="456"/>
      <c r="E22" s="456"/>
      <c r="F22" s="456"/>
      <c r="G22" s="126"/>
      <c r="H22" s="402"/>
      <c r="I22" s="403"/>
      <c r="J22" s="14"/>
      <c r="K22" s="15"/>
      <c r="L22" s="13"/>
      <c r="M22" s="13"/>
      <c r="N22" s="13"/>
      <c r="O22" s="13"/>
      <c r="P22" s="13"/>
      <c r="Q22" s="13"/>
      <c r="R22" s="14"/>
      <c r="S22" s="15"/>
      <c r="T22" s="13"/>
      <c r="U22" s="13"/>
      <c r="V22" s="13"/>
      <c r="W22" s="13"/>
      <c r="X22" s="13"/>
      <c r="Y22" s="13"/>
      <c r="Z22" s="14"/>
      <c r="AA22" s="15"/>
      <c r="AB22" s="13"/>
      <c r="AC22" s="13"/>
      <c r="AD22" s="13"/>
      <c r="AE22" s="13"/>
      <c r="AF22" s="13"/>
      <c r="AG22" s="13"/>
      <c r="AH22" s="14"/>
      <c r="AI22" s="15"/>
      <c r="AJ22" s="13"/>
      <c r="AK22" s="13"/>
      <c r="AL22" s="13"/>
      <c r="AM22" s="13"/>
      <c r="AN22" s="13"/>
      <c r="AO22" s="13"/>
      <c r="AP22" s="14"/>
      <c r="AQ22" s="15"/>
      <c r="AR22" s="13"/>
      <c r="AS22" s="13"/>
      <c r="AT22" s="13"/>
      <c r="AU22" s="13"/>
      <c r="AV22" s="13"/>
      <c r="AW22" s="13"/>
      <c r="AX22" s="14"/>
      <c r="AY22" s="15"/>
      <c r="AZ22" s="13"/>
      <c r="BA22" s="13"/>
      <c r="BB22" s="13"/>
      <c r="BC22" s="13"/>
      <c r="BD22" s="13"/>
      <c r="BE22" s="13"/>
      <c r="BF22" s="14"/>
    </row>
    <row r="23" spans="1:58" s="10" customFormat="1" ht="15" customHeight="1" x14ac:dyDescent="0.2">
      <c r="A23" s="15"/>
      <c r="B23" s="455"/>
      <c r="C23" s="456"/>
      <c r="D23" s="456"/>
      <c r="E23" s="456"/>
      <c r="F23" s="456"/>
      <c r="G23" s="126"/>
      <c r="H23" s="402"/>
      <c r="I23" s="403"/>
      <c r="J23" s="14"/>
      <c r="K23" s="8"/>
      <c r="L23" s="7"/>
      <c r="M23" s="7"/>
      <c r="N23" s="7"/>
      <c r="O23" s="7"/>
      <c r="P23" s="7"/>
      <c r="Q23" s="7"/>
      <c r="R23" s="9"/>
      <c r="S23" s="8"/>
      <c r="T23" s="7"/>
      <c r="U23" s="7"/>
      <c r="V23" s="7"/>
      <c r="W23" s="7"/>
      <c r="X23" s="7"/>
      <c r="Y23" s="7"/>
      <c r="Z23" s="9"/>
      <c r="AA23" s="8"/>
      <c r="AB23" s="7"/>
      <c r="AC23" s="7"/>
      <c r="AD23" s="7"/>
      <c r="AE23" s="7"/>
      <c r="AF23" s="7"/>
      <c r="AG23" s="7"/>
      <c r="AH23" s="9"/>
      <c r="AI23" s="8"/>
      <c r="AJ23" s="7"/>
      <c r="AK23" s="7"/>
      <c r="AL23" s="7"/>
      <c r="AM23" s="7"/>
      <c r="AN23" s="7"/>
      <c r="AO23" s="7"/>
      <c r="AP23" s="9"/>
      <c r="AQ23" s="8"/>
      <c r="AR23" s="7"/>
      <c r="AS23" s="7"/>
      <c r="AT23" s="7"/>
      <c r="AU23" s="7"/>
      <c r="AV23" s="7"/>
      <c r="AW23" s="7"/>
      <c r="AX23" s="9"/>
      <c r="AY23" s="8"/>
      <c r="AZ23" s="7"/>
      <c r="BA23" s="7"/>
      <c r="BB23" s="7"/>
      <c r="BC23" s="7"/>
      <c r="BD23" s="7"/>
      <c r="BE23" s="7"/>
      <c r="BF23" s="9"/>
    </row>
    <row r="24" spans="1:58" s="10" customFormat="1" ht="15" customHeight="1" x14ac:dyDescent="0.2">
      <c r="A24" s="8"/>
      <c r="B24" s="455"/>
      <c r="C24" s="456"/>
      <c r="D24" s="456"/>
      <c r="E24" s="456"/>
      <c r="F24" s="456"/>
      <c r="G24" s="240"/>
      <c r="H24" s="402"/>
      <c r="I24" s="403"/>
      <c r="J24" s="9"/>
      <c r="K24" s="8"/>
      <c r="L24" s="7"/>
      <c r="M24" s="7"/>
      <c r="N24" s="7"/>
      <c r="O24" s="7"/>
      <c r="P24" s="7"/>
      <c r="Q24" s="7"/>
      <c r="R24" s="9"/>
      <c r="S24" s="8"/>
      <c r="T24" s="7"/>
      <c r="U24" s="7"/>
      <c r="V24" s="7"/>
      <c r="W24" s="7"/>
      <c r="X24" s="7"/>
      <c r="Y24" s="7"/>
      <c r="Z24" s="9"/>
      <c r="AA24" s="8"/>
      <c r="AB24" s="7"/>
      <c r="AC24" s="7"/>
      <c r="AD24" s="7"/>
      <c r="AE24" s="7"/>
      <c r="AF24" s="7"/>
      <c r="AG24" s="7"/>
      <c r="AH24" s="9"/>
      <c r="AI24" s="8"/>
      <c r="AJ24" s="7"/>
      <c r="AK24" s="7"/>
      <c r="AL24" s="7"/>
      <c r="AM24" s="7"/>
      <c r="AN24" s="7"/>
      <c r="AO24" s="7"/>
      <c r="AP24" s="9"/>
      <c r="AQ24" s="8"/>
      <c r="AR24" s="7"/>
      <c r="AS24" s="7"/>
      <c r="AT24" s="7"/>
      <c r="AU24" s="7"/>
      <c r="AV24" s="7"/>
      <c r="AW24" s="7"/>
      <c r="AX24" s="9"/>
      <c r="AY24" s="8"/>
      <c r="AZ24" s="7"/>
      <c r="BA24" s="7"/>
      <c r="BB24" s="7"/>
      <c r="BC24" s="7"/>
      <c r="BD24" s="7"/>
      <c r="BE24" s="7"/>
      <c r="BF24" s="9"/>
    </row>
    <row r="25" spans="1:58" ht="15" customHeight="1" x14ac:dyDescent="0.2">
      <c r="A25" s="8"/>
      <c r="B25" s="455"/>
      <c r="C25" s="456"/>
      <c r="D25" s="456"/>
      <c r="E25" s="456"/>
      <c r="F25" s="456"/>
      <c r="G25" s="240"/>
      <c r="H25" s="404"/>
      <c r="I25" s="405"/>
      <c r="J25" s="9"/>
      <c r="K25" s="8"/>
      <c r="L25" s="7"/>
      <c r="M25" s="7"/>
      <c r="N25" s="7"/>
      <c r="O25" s="7"/>
      <c r="P25" s="7"/>
      <c r="Q25" s="7"/>
      <c r="R25" s="9"/>
      <c r="S25" s="8"/>
      <c r="T25" s="7"/>
      <c r="U25" s="7"/>
      <c r="V25" s="7"/>
      <c r="W25" s="7"/>
      <c r="X25" s="7"/>
      <c r="Y25" s="7"/>
      <c r="Z25" s="9"/>
      <c r="AA25" s="8"/>
      <c r="AB25" s="7"/>
      <c r="AC25" s="7"/>
      <c r="AD25" s="7"/>
      <c r="AE25" s="7"/>
      <c r="AF25" s="7"/>
      <c r="AG25" s="7"/>
      <c r="AH25" s="9"/>
      <c r="AI25" s="8"/>
      <c r="AJ25" s="7"/>
      <c r="AK25" s="7"/>
      <c r="AL25" s="7"/>
      <c r="AM25" s="7"/>
      <c r="AN25" s="7"/>
      <c r="AO25" s="7"/>
      <c r="AP25" s="9"/>
      <c r="AQ25" s="8"/>
      <c r="AR25" s="7"/>
      <c r="AS25" s="7"/>
      <c r="AT25" s="7"/>
      <c r="AU25" s="7"/>
      <c r="AV25" s="7"/>
      <c r="AW25" s="7"/>
      <c r="AX25" s="9"/>
      <c r="AY25" s="8"/>
      <c r="AZ25" s="7"/>
      <c r="BA25" s="7"/>
      <c r="BB25" s="7"/>
      <c r="BC25" s="7"/>
      <c r="BD25" s="7"/>
      <c r="BE25" s="7"/>
      <c r="BF25" s="9"/>
    </row>
    <row r="26" spans="1:58" s="11" customFormat="1" ht="15" customHeight="1" thickBot="1" x14ac:dyDescent="0.25">
      <c r="A26" s="8"/>
      <c r="B26" s="379"/>
      <c r="C26" s="380"/>
      <c r="D26" s="380"/>
      <c r="E26" s="380"/>
      <c r="F26" s="380"/>
      <c r="G26" s="241"/>
      <c r="H26" s="408"/>
      <c r="I26" s="409"/>
      <c r="J26" s="9"/>
      <c r="K26" s="8"/>
      <c r="L26" s="7"/>
      <c r="M26" s="7"/>
      <c r="N26" s="7"/>
      <c r="O26" s="7"/>
      <c r="P26" s="7"/>
      <c r="Q26" s="7"/>
      <c r="R26" s="9"/>
      <c r="S26" s="8"/>
      <c r="T26" s="7"/>
      <c r="U26" s="7"/>
      <c r="V26" s="7"/>
      <c r="W26" s="7"/>
      <c r="X26" s="7"/>
      <c r="Y26" s="7"/>
      <c r="Z26" s="9"/>
      <c r="AA26" s="8"/>
      <c r="AB26" s="7"/>
      <c r="AC26" s="7"/>
      <c r="AD26" s="7"/>
      <c r="AE26" s="7"/>
      <c r="AF26" s="7"/>
      <c r="AG26" s="7"/>
      <c r="AH26" s="9"/>
      <c r="AI26" s="8"/>
      <c r="AJ26" s="7"/>
      <c r="AK26" s="7"/>
      <c r="AL26" s="7"/>
      <c r="AM26" s="7"/>
      <c r="AN26" s="7"/>
      <c r="AO26" s="7"/>
      <c r="AP26" s="9"/>
      <c r="AQ26" s="8"/>
      <c r="AR26" s="7"/>
      <c r="AS26" s="7"/>
      <c r="AT26" s="7"/>
      <c r="AU26" s="7"/>
      <c r="AV26" s="7"/>
      <c r="AW26" s="7"/>
      <c r="AX26" s="9"/>
      <c r="AY26" s="8"/>
      <c r="AZ26" s="7"/>
      <c r="BA26" s="7"/>
      <c r="BB26" s="7"/>
      <c r="BC26" s="7"/>
      <c r="BD26" s="7"/>
      <c r="BE26" s="7"/>
      <c r="BF26" s="9"/>
    </row>
    <row r="27" spans="1:58" s="11" customFormat="1" ht="15" customHeight="1" x14ac:dyDescent="0.2">
      <c r="A27" s="8"/>
      <c r="B27" s="7"/>
      <c r="C27" s="7"/>
      <c r="D27" s="7"/>
      <c r="E27" s="7"/>
      <c r="F27" s="7"/>
      <c r="G27" s="7"/>
      <c r="H27" s="7"/>
      <c r="I27" s="7"/>
      <c r="J27" s="9"/>
      <c r="K27" s="8"/>
      <c r="L27" s="7"/>
      <c r="M27" s="7"/>
      <c r="N27" s="7"/>
      <c r="O27" s="7"/>
      <c r="P27" s="7"/>
      <c r="Q27" s="7"/>
      <c r="R27" s="9"/>
      <c r="S27" s="8"/>
      <c r="T27" s="7"/>
      <c r="U27" s="7"/>
      <c r="V27" s="7"/>
      <c r="W27" s="7"/>
      <c r="X27" s="7"/>
      <c r="Y27" s="7"/>
      <c r="Z27" s="9"/>
      <c r="AA27" s="8"/>
      <c r="AB27" s="7"/>
      <c r="AC27" s="7"/>
      <c r="AD27" s="7"/>
      <c r="AE27" s="7"/>
      <c r="AF27" s="7"/>
      <c r="AG27" s="7"/>
      <c r="AH27" s="9"/>
      <c r="AI27" s="8"/>
      <c r="AJ27" s="7"/>
      <c r="AK27" s="7"/>
      <c r="AL27" s="7"/>
      <c r="AM27" s="7"/>
      <c r="AN27" s="7"/>
      <c r="AO27" s="7"/>
      <c r="AP27" s="9"/>
      <c r="AQ27" s="8"/>
      <c r="AR27" s="7"/>
      <c r="AS27" s="7"/>
      <c r="AT27" s="7"/>
      <c r="AU27" s="7"/>
      <c r="AV27" s="7"/>
      <c r="AW27" s="7"/>
      <c r="AX27" s="9"/>
      <c r="AY27" s="8"/>
      <c r="AZ27" s="7"/>
      <c r="BA27" s="7"/>
      <c r="BB27" s="7"/>
      <c r="BC27" s="7"/>
      <c r="BD27" s="7"/>
      <c r="BE27" s="7"/>
      <c r="BF27" s="9"/>
    </row>
    <row r="28" spans="1:58" s="11" customFormat="1" ht="15" customHeight="1" x14ac:dyDescent="0.2">
      <c r="A28" s="384" t="s">
        <v>92</v>
      </c>
      <c r="B28" s="378"/>
      <c r="C28" s="7"/>
      <c r="D28" s="7"/>
      <c r="E28" s="7"/>
      <c r="F28" s="7"/>
      <c r="G28" s="7"/>
      <c r="H28" s="7"/>
      <c r="I28" s="7"/>
      <c r="J28" s="9"/>
      <c r="K28" s="8"/>
      <c r="L28" s="7"/>
      <c r="M28" s="7"/>
      <c r="N28" s="7"/>
      <c r="O28" s="7"/>
      <c r="P28" s="7"/>
      <c r="Q28" s="7"/>
      <c r="R28" s="9"/>
      <c r="S28" s="8"/>
      <c r="T28" s="7"/>
      <c r="U28" s="7"/>
      <c r="V28" s="7"/>
      <c r="W28" s="7"/>
      <c r="X28" s="7"/>
      <c r="Y28" s="7"/>
      <c r="Z28" s="9"/>
      <c r="AA28" s="8"/>
      <c r="AB28" s="7"/>
      <c r="AC28" s="7"/>
      <c r="AD28" s="7"/>
      <c r="AE28" s="7"/>
      <c r="AF28" s="7"/>
      <c r="AG28" s="7"/>
      <c r="AH28" s="9"/>
      <c r="AI28" s="8"/>
      <c r="AJ28" s="7"/>
      <c r="AK28" s="7"/>
      <c r="AL28" s="7"/>
      <c r="AM28" s="7"/>
      <c r="AN28" s="7"/>
      <c r="AO28" s="7"/>
      <c r="AP28" s="9"/>
      <c r="AQ28" s="8"/>
      <c r="AR28" s="7"/>
      <c r="AS28" s="7"/>
      <c r="AT28" s="7"/>
      <c r="AU28" s="7"/>
      <c r="AV28" s="7"/>
      <c r="AW28" s="7"/>
      <c r="AX28" s="9"/>
      <c r="AY28" s="8"/>
      <c r="AZ28" s="7"/>
      <c r="BA28" s="7"/>
      <c r="BB28" s="7"/>
      <c r="BC28" s="7"/>
      <c r="BD28" s="7"/>
      <c r="BE28" s="7"/>
      <c r="BF28" s="9"/>
    </row>
    <row r="29" spans="1:58" s="11" customFormat="1" ht="15" customHeight="1" thickBot="1" x14ac:dyDescent="0.25">
      <c r="A29" s="8"/>
      <c r="B29" s="7"/>
      <c r="C29" s="7"/>
      <c r="D29" s="7"/>
      <c r="E29" s="7"/>
      <c r="F29" s="7"/>
      <c r="G29" s="7"/>
      <c r="H29" s="7"/>
      <c r="I29" s="7"/>
      <c r="J29" s="9"/>
      <c r="K29" s="8"/>
      <c r="L29" s="7"/>
      <c r="M29" s="7"/>
      <c r="N29" s="7"/>
      <c r="O29" s="7"/>
      <c r="P29" s="7"/>
      <c r="Q29" s="7"/>
      <c r="R29" s="9"/>
      <c r="S29" s="8"/>
      <c r="T29" s="7"/>
      <c r="U29" s="7"/>
      <c r="V29" s="7"/>
      <c r="W29" s="7"/>
      <c r="X29" s="7"/>
      <c r="Y29" s="7"/>
      <c r="Z29" s="9"/>
      <c r="AA29" s="8"/>
      <c r="AB29" s="7"/>
      <c r="AC29" s="7"/>
      <c r="AD29" s="7"/>
      <c r="AE29" s="7"/>
      <c r="AF29" s="7"/>
      <c r="AG29" s="7"/>
      <c r="AH29" s="9"/>
      <c r="AI29" s="8"/>
      <c r="AJ29" s="7"/>
      <c r="AK29" s="7"/>
      <c r="AL29" s="7"/>
      <c r="AM29" s="7"/>
      <c r="AN29" s="7"/>
      <c r="AO29" s="7"/>
      <c r="AP29" s="9"/>
      <c r="AQ29" s="8"/>
      <c r="AR29" s="7"/>
      <c r="AS29" s="7"/>
      <c r="AT29" s="7"/>
      <c r="AU29" s="7"/>
      <c r="AV29" s="7"/>
      <c r="AW29" s="7"/>
      <c r="AX29" s="9"/>
      <c r="AY29" s="8"/>
      <c r="AZ29" s="7"/>
      <c r="BA29" s="7"/>
      <c r="BB29" s="7"/>
      <c r="BC29" s="7"/>
      <c r="BD29" s="7"/>
      <c r="BE29" s="7"/>
      <c r="BF29" s="9"/>
    </row>
    <row r="30" spans="1:58" s="11" customFormat="1" ht="15" customHeight="1" thickBot="1" x14ac:dyDescent="0.25">
      <c r="A30" s="8"/>
      <c r="B30" s="7"/>
      <c r="C30" s="7"/>
      <c r="D30" s="127"/>
      <c r="E30" s="128"/>
      <c r="F30" s="397" t="s">
        <v>93</v>
      </c>
      <c r="G30" s="398"/>
      <c r="H30" s="398"/>
      <c r="I30" s="399"/>
      <c r="J30" s="9"/>
      <c r="K30" s="15"/>
      <c r="L30" s="13"/>
      <c r="M30" s="13"/>
      <c r="N30" s="13"/>
      <c r="O30" s="13"/>
      <c r="P30" s="13"/>
      <c r="Q30" s="13"/>
      <c r="R30" s="14"/>
      <c r="S30" s="15"/>
      <c r="T30" s="13"/>
      <c r="U30" s="13"/>
      <c r="V30" s="13"/>
      <c r="W30" s="13"/>
      <c r="X30" s="13"/>
      <c r="Y30" s="13"/>
      <c r="Z30" s="14"/>
      <c r="AA30" s="15"/>
      <c r="AB30" s="13"/>
      <c r="AC30" s="13"/>
      <c r="AD30" s="13"/>
      <c r="AE30" s="13"/>
      <c r="AF30" s="13"/>
      <c r="AG30" s="13"/>
      <c r="AH30" s="14"/>
      <c r="AI30" s="15"/>
      <c r="AJ30" s="13"/>
      <c r="AK30" s="13"/>
      <c r="AL30" s="13"/>
      <c r="AM30" s="13"/>
      <c r="AN30" s="13"/>
      <c r="AO30" s="13"/>
      <c r="AP30" s="14"/>
      <c r="AQ30" s="15"/>
      <c r="AR30" s="13"/>
      <c r="AS30" s="13"/>
      <c r="AT30" s="13"/>
      <c r="AU30" s="13"/>
      <c r="AV30" s="13"/>
      <c r="AW30" s="13"/>
      <c r="AX30" s="14"/>
      <c r="AY30" s="15"/>
      <c r="AZ30" s="13"/>
      <c r="BA30" s="13"/>
      <c r="BB30" s="13"/>
      <c r="BC30" s="13"/>
      <c r="BD30" s="13"/>
      <c r="BE30" s="13"/>
      <c r="BF30" s="14"/>
    </row>
    <row r="31" spans="1:58" s="11" customFormat="1" ht="15" customHeight="1" x14ac:dyDescent="0.2">
      <c r="A31" s="8"/>
      <c r="B31" s="392" t="s">
        <v>94</v>
      </c>
      <c r="C31" s="393"/>
      <c r="D31" s="129"/>
      <c r="E31" s="130"/>
      <c r="F31" s="394"/>
      <c r="G31" s="395"/>
      <c r="H31" s="395"/>
      <c r="I31" s="396"/>
      <c r="J31" s="9"/>
      <c r="K31" s="15"/>
      <c r="L31" s="13"/>
      <c r="M31" s="13"/>
      <c r="N31" s="13"/>
      <c r="O31" s="13"/>
      <c r="P31" s="13"/>
      <c r="Q31" s="13"/>
      <c r="R31" s="14"/>
      <c r="S31" s="15"/>
      <c r="T31" s="13"/>
      <c r="U31" s="13"/>
      <c r="V31" s="13"/>
      <c r="W31" s="13"/>
      <c r="X31" s="13"/>
      <c r="Y31" s="13"/>
      <c r="Z31" s="14"/>
      <c r="AA31" s="15"/>
      <c r="AB31" s="13"/>
      <c r="AC31" s="13"/>
      <c r="AD31" s="13"/>
      <c r="AE31" s="13"/>
      <c r="AF31" s="13"/>
      <c r="AG31" s="13"/>
      <c r="AH31" s="14"/>
      <c r="AI31" s="15"/>
      <c r="AJ31" s="13"/>
      <c r="AK31" s="13"/>
      <c r="AL31" s="13"/>
      <c r="AM31" s="13"/>
      <c r="AN31" s="13"/>
      <c r="AO31" s="13"/>
      <c r="AP31" s="14"/>
      <c r="AQ31" s="15"/>
      <c r="AR31" s="13"/>
      <c r="AS31" s="13"/>
      <c r="AT31" s="13"/>
      <c r="AU31" s="13"/>
      <c r="AV31" s="13"/>
      <c r="AW31" s="13"/>
      <c r="AX31" s="14"/>
      <c r="AY31" s="15"/>
      <c r="AZ31" s="13"/>
      <c r="BA31" s="13"/>
      <c r="BB31" s="13"/>
      <c r="BC31" s="13"/>
      <c r="BD31" s="13"/>
      <c r="BE31" s="13"/>
      <c r="BF31" s="14"/>
    </row>
    <row r="32" spans="1:58" s="11" customFormat="1" ht="15" customHeight="1" x14ac:dyDescent="0.2">
      <c r="A32" s="15"/>
      <c r="B32" s="385" t="s">
        <v>95</v>
      </c>
      <c r="C32" s="386"/>
      <c r="D32" s="189"/>
      <c r="E32" s="131"/>
      <c r="F32" s="387"/>
      <c r="G32" s="388"/>
      <c r="H32" s="388"/>
      <c r="I32" s="389"/>
      <c r="J32" s="14"/>
      <c r="K32" s="15"/>
      <c r="L32" s="13"/>
      <c r="M32" s="13"/>
      <c r="N32" s="13"/>
      <c r="O32" s="13"/>
      <c r="P32" s="13"/>
      <c r="Q32" s="13"/>
      <c r="R32" s="14"/>
      <c r="S32" s="15"/>
      <c r="T32" s="13"/>
      <c r="U32" s="13"/>
      <c r="V32" s="13"/>
      <c r="W32" s="13"/>
      <c r="X32" s="13"/>
      <c r="Y32" s="13"/>
      <c r="Z32" s="14"/>
      <c r="AA32" s="15"/>
      <c r="AB32" s="13"/>
      <c r="AC32" s="13"/>
      <c r="AD32" s="13"/>
      <c r="AE32" s="13"/>
      <c r="AF32" s="13"/>
      <c r="AG32" s="13"/>
      <c r="AH32" s="14"/>
      <c r="AI32" s="15"/>
      <c r="AJ32" s="13"/>
      <c r="AK32" s="13"/>
      <c r="AL32" s="13"/>
      <c r="AM32" s="13"/>
      <c r="AN32" s="13"/>
      <c r="AO32" s="13"/>
      <c r="AP32" s="14"/>
      <c r="AQ32" s="15"/>
      <c r="AR32" s="13"/>
      <c r="AS32" s="13"/>
      <c r="AT32" s="13"/>
      <c r="AU32" s="13"/>
      <c r="AV32" s="13"/>
      <c r="AW32" s="13"/>
      <c r="AX32" s="14"/>
      <c r="AY32" s="15"/>
      <c r="AZ32" s="13"/>
      <c r="BA32" s="13"/>
      <c r="BB32" s="13"/>
      <c r="BC32" s="13"/>
      <c r="BD32" s="13"/>
      <c r="BE32" s="13"/>
      <c r="BF32" s="14"/>
    </row>
    <row r="33" spans="1:58" s="11" customFormat="1" ht="15" customHeight="1" x14ac:dyDescent="0.2">
      <c r="A33" s="15"/>
      <c r="B33" s="385" t="s">
        <v>96</v>
      </c>
      <c r="C33" s="386"/>
      <c r="D33" s="126"/>
      <c r="E33" s="131"/>
      <c r="F33" s="387"/>
      <c r="G33" s="388"/>
      <c r="H33" s="388"/>
      <c r="I33" s="389"/>
      <c r="J33" s="14"/>
      <c r="K33" s="15"/>
      <c r="L33" s="13"/>
      <c r="M33" s="13"/>
      <c r="N33" s="13"/>
      <c r="O33" s="13"/>
      <c r="P33" s="13"/>
      <c r="Q33" s="13"/>
      <c r="R33" s="14"/>
      <c r="S33" s="15"/>
      <c r="T33" s="13"/>
      <c r="U33" s="13"/>
      <c r="V33" s="13"/>
      <c r="W33" s="13"/>
      <c r="X33" s="13"/>
      <c r="Y33" s="13"/>
      <c r="Z33" s="14"/>
      <c r="AA33" s="15"/>
      <c r="AB33" s="13"/>
      <c r="AC33" s="13"/>
      <c r="AD33" s="13"/>
      <c r="AE33" s="13"/>
      <c r="AF33" s="13"/>
      <c r="AG33" s="13"/>
      <c r="AH33" s="14"/>
      <c r="AI33" s="15"/>
      <c r="AJ33" s="13"/>
      <c r="AK33" s="13"/>
      <c r="AL33" s="13"/>
      <c r="AM33" s="13"/>
      <c r="AN33" s="13"/>
      <c r="AO33" s="13"/>
      <c r="AP33" s="14"/>
      <c r="AQ33" s="15"/>
      <c r="AR33" s="13"/>
      <c r="AS33" s="13"/>
      <c r="AT33" s="13"/>
      <c r="AU33" s="13"/>
      <c r="AV33" s="13"/>
      <c r="AW33" s="13"/>
      <c r="AX33" s="14"/>
      <c r="AY33" s="15"/>
      <c r="AZ33" s="13"/>
      <c r="BA33" s="13"/>
      <c r="BB33" s="13"/>
      <c r="BC33" s="13"/>
      <c r="BD33" s="13"/>
      <c r="BE33" s="13"/>
      <c r="BF33" s="14"/>
    </row>
    <row r="34" spans="1:58" s="11" customFormat="1" ht="15" customHeight="1" x14ac:dyDescent="0.2">
      <c r="A34" s="15"/>
      <c r="B34" s="385" t="s">
        <v>97</v>
      </c>
      <c r="C34" s="386"/>
      <c r="D34" s="126"/>
      <c r="E34" s="131"/>
      <c r="F34" s="387"/>
      <c r="G34" s="388"/>
      <c r="H34" s="388"/>
      <c r="I34" s="389"/>
      <c r="J34" s="14"/>
      <c r="K34" s="15"/>
      <c r="L34" s="13"/>
      <c r="M34" s="13"/>
      <c r="N34" s="13"/>
      <c r="O34" s="13"/>
      <c r="P34" s="13"/>
      <c r="Q34" s="13"/>
      <c r="R34" s="14"/>
      <c r="S34" s="15"/>
      <c r="T34" s="13"/>
      <c r="U34" s="13"/>
      <c r="V34" s="13"/>
      <c r="W34" s="13"/>
      <c r="X34" s="13"/>
      <c r="Y34" s="13"/>
      <c r="Z34" s="14"/>
      <c r="AA34" s="15"/>
      <c r="AB34" s="13"/>
      <c r="AC34" s="13"/>
      <c r="AD34" s="13"/>
      <c r="AE34" s="13"/>
      <c r="AF34" s="13"/>
      <c r="AG34" s="13"/>
      <c r="AH34" s="14"/>
      <c r="AI34" s="15"/>
      <c r="AJ34" s="13"/>
      <c r="AK34" s="13"/>
      <c r="AL34" s="13"/>
      <c r="AM34" s="13"/>
      <c r="AN34" s="13"/>
      <c r="AO34" s="13"/>
      <c r="AP34" s="14"/>
      <c r="AQ34" s="15"/>
      <c r="AR34" s="13"/>
      <c r="AS34" s="13"/>
      <c r="AT34" s="13"/>
      <c r="AU34" s="13"/>
      <c r="AV34" s="13"/>
      <c r="AW34" s="13"/>
      <c r="AX34" s="14"/>
      <c r="AY34" s="15"/>
      <c r="AZ34" s="13"/>
      <c r="BA34" s="13"/>
      <c r="BB34" s="13"/>
      <c r="BC34" s="13"/>
      <c r="BD34" s="13"/>
      <c r="BE34" s="13"/>
      <c r="BF34" s="14"/>
    </row>
    <row r="35" spans="1:58" s="11" customFormat="1" ht="15" customHeight="1" x14ac:dyDescent="0.2">
      <c r="A35" s="15"/>
      <c r="B35" s="390" t="s">
        <v>98</v>
      </c>
      <c r="C35" s="391"/>
      <c r="D35" s="132"/>
      <c r="E35" s="133"/>
      <c r="F35" s="387"/>
      <c r="G35" s="388"/>
      <c r="H35" s="388"/>
      <c r="I35" s="389"/>
      <c r="J35" s="14"/>
      <c r="K35" s="15"/>
      <c r="L35" s="13"/>
      <c r="M35" s="13"/>
      <c r="N35" s="13"/>
      <c r="O35" s="13"/>
      <c r="P35" s="13"/>
      <c r="Q35" s="13"/>
      <c r="R35" s="14"/>
      <c r="S35" s="15"/>
      <c r="T35" s="13"/>
      <c r="U35" s="13"/>
      <c r="V35" s="13"/>
      <c r="W35" s="13"/>
      <c r="X35" s="13"/>
      <c r="Y35" s="13"/>
      <c r="Z35" s="14"/>
      <c r="AA35" s="15"/>
      <c r="AB35" s="13"/>
      <c r="AC35" s="13"/>
      <c r="AD35" s="13"/>
      <c r="AE35" s="13"/>
      <c r="AF35" s="13"/>
      <c r="AG35" s="13"/>
      <c r="AH35" s="14"/>
      <c r="AI35" s="15"/>
      <c r="AJ35" s="13"/>
      <c r="AK35" s="13"/>
      <c r="AL35" s="13"/>
      <c r="AM35" s="13"/>
      <c r="AN35" s="13"/>
      <c r="AO35" s="13"/>
      <c r="AP35" s="14"/>
      <c r="AQ35" s="15"/>
      <c r="AR35" s="13"/>
      <c r="AS35" s="13"/>
      <c r="AT35" s="13"/>
      <c r="AU35" s="13"/>
      <c r="AV35" s="13"/>
      <c r="AW35" s="13"/>
      <c r="AX35" s="14"/>
      <c r="AY35" s="15"/>
      <c r="AZ35" s="13"/>
      <c r="BA35" s="13"/>
      <c r="BB35" s="13"/>
      <c r="BC35" s="13"/>
      <c r="BD35" s="13"/>
      <c r="BE35" s="13"/>
      <c r="BF35" s="14"/>
    </row>
    <row r="36" spans="1:58" s="11" customFormat="1" ht="15" customHeight="1" x14ac:dyDescent="0.2">
      <c r="A36" s="15"/>
      <c r="B36" s="390" t="s">
        <v>99</v>
      </c>
      <c r="C36" s="391"/>
      <c r="D36" s="132"/>
      <c r="E36" s="133"/>
      <c r="F36" s="387"/>
      <c r="G36" s="388"/>
      <c r="H36" s="388"/>
      <c r="I36" s="389"/>
      <c r="J36" s="14"/>
      <c r="K36" s="15"/>
      <c r="L36" s="13"/>
      <c r="M36" s="13"/>
      <c r="N36" s="13"/>
      <c r="O36" s="13"/>
      <c r="P36" s="13"/>
      <c r="Q36" s="13"/>
      <c r="R36" s="14"/>
      <c r="S36" s="15"/>
      <c r="T36" s="13"/>
      <c r="U36" s="13"/>
      <c r="V36" s="13"/>
      <c r="W36" s="13"/>
      <c r="X36" s="13"/>
      <c r="Y36" s="13"/>
      <c r="Z36" s="14"/>
      <c r="AA36" s="15"/>
      <c r="AB36" s="13"/>
      <c r="AC36" s="13"/>
      <c r="AD36" s="13"/>
      <c r="AE36" s="13"/>
      <c r="AF36" s="13"/>
      <c r="AG36" s="13"/>
      <c r="AH36" s="14"/>
      <c r="AI36" s="15"/>
      <c r="AJ36" s="13"/>
      <c r="AK36" s="13"/>
      <c r="AL36" s="13"/>
      <c r="AM36" s="13"/>
      <c r="AN36" s="13"/>
      <c r="AO36" s="13"/>
      <c r="AP36" s="14"/>
      <c r="AQ36" s="15"/>
      <c r="AR36" s="13"/>
      <c r="AS36" s="13"/>
      <c r="AT36" s="13"/>
      <c r="AU36" s="13"/>
      <c r="AV36" s="13"/>
      <c r="AW36" s="13"/>
      <c r="AX36" s="14"/>
      <c r="AY36" s="15"/>
      <c r="AZ36" s="13"/>
      <c r="BA36" s="13"/>
      <c r="BB36" s="13"/>
      <c r="BC36" s="13"/>
      <c r="BD36" s="13"/>
      <c r="BE36" s="13"/>
      <c r="BF36" s="14"/>
    </row>
    <row r="37" spans="1:58" s="11" customFormat="1" ht="15" customHeight="1" thickBot="1" x14ac:dyDescent="0.25">
      <c r="A37" s="15"/>
      <c r="B37" s="379"/>
      <c r="C37" s="380"/>
      <c r="D37" s="134"/>
      <c r="E37" s="135"/>
      <c r="F37" s="381"/>
      <c r="G37" s="382"/>
      <c r="H37" s="382"/>
      <c r="I37" s="383"/>
      <c r="J37" s="14"/>
      <c r="K37" s="15"/>
      <c r="L37" s="13"/>
      <c r="M37" s="13"/>
      <c r="N37" s="13"/>
      <c r="O37" s="13"/>
      <c r="P37" s="13"/>
      <c r="Q37" s="13"/>
      <c r="R37" s="14"/>
      <c r="S37" s="15"/>
      <c r="T37" s="13"/>
      <c r="U37" s="13"/>
      <c r="V37" s="13"/>
      <c r="W37" s="13"/>
      <c r="X37" s="13"/>
      <c r="Y37" s="13"/>
      <c r="Z37" s="14"/>
      <c r="AA37" s="15"/>
      <c r="AB37" s="13"/>
      <c r="AC37" s="13"/>
      <c r="AD37" s="13"/>
      <c r="AE37" s="13"/>
      <c r="AF37" s="13"/>
      <c r="AG37" s="13"/>
      <c r="AH37" s="14"/>
      <c r="AI37" s="15"/>
      <c r="AJ37" s="13"/>
      <c r="AK37" s="13"/>
      <c r="AL37" s="13"/>
      <c r="AM37" s="13"/>
      <c r="AN37" s="13"/>
      <c r="AO37" s="13"/>
      <c r="AP37" s="14"/>
      <c r="AQ37" s="15"/>
      <c r="AR37" s="13"/>
      <c r="AS37" s="13"/>
      <c r="AT37" s="13"/>
      <c r="AU37" s="13"/>
      <c r="AV37" s="13"/>
      <c r="AW37" s="13"/>
      <c r="AX37" s="14"/>
      <c r="AY37" s="15"/>
      <c r="AZ37" s="13"/>
      <c r="BA37" s="13"/>
      <c r="BB37" s="13"/>
      <c r="BC37" s="13"/>
      <c r="BD37" s="13"/>
      <c r="BE37" s="13"/>
      <c r="BF37" s="14"/>
    </row>
    <row r="38" spans="1:58" s="11" customFormat="1" ht="15" customHeight="1" x14ac:dyDescent="0.2">
      <c r="A38" s="15"/>
      <c r="B38" s="13"/>
      <c r="C38" s="13"/>
      <c r="D38" s="13"/>
      <c r="E38" s="13"/>
      <c r="F38" s="13"/>
      <c r="G38" s="13"/>
      <c r="H38" s="13"/>
      <c r="I38" s="13"/>
      <c r="J38" s="14"/>
      <c r="K38" s="15"/>
      <c r="L38" s="13"/>
      <c r="M38" s="13"/>
      <c r="N38" s="13"/>
      <c r="O38" s="13"/>
      <c r="P38" s="13"/>
      <c r="Q38" s="13"/>
      <c r="R38" s="14"/>
      <c r="S38" s="15"/>
      <c r="T38" s="13"/>
      <c r="U38" s="13"/>
      <c r="V38" s="13"/>
      <c r="W38" s="13"/>
      <c r="X38" s="13"/>
      <c r="Y38" s="13"/>
      <c r="Z38" s="14"/>
      <c r="AA38" s="15"/>
      <c r="AB38" s="13"/>
      <c r="AC38" s="13"/>
      <c r="AD38" s="13"/>
      <c r="AE38" s="13"/>
      <c r="AF38" s="13"/>
      <c r="AG38" s="13"/>
      <c r="AH38" s="14"/>
      <c r="AI38" s="15"/>
      <c r="AJ38" s="13"/>
      <c r="AK38" s="13"/>
      <c r="AL38" s="13"/>
      <c r="AM38" s="13"/>
      <c r="AN38" s="13"/>
      <c r="AO38" s="13"/>
      <c r="AP38" s="14"/>
      <c r="AQ38" s="15"/>
      <c r="AR38" s="13"/>
      <c r="AS38" s="13"/>
      <c r="AT38" s="13"/>
      <c r="AU38" s="13"/>
      <c r="AV38" s="13"/>
      <c r="AW38" s="13"/>
      <c r="AX38" s="14"/>
      <c r="AY38" s="15"/>
      <c r="AZ38" s="13"/>
      <c r="BA38" s="13"/>
      <c r="BB38" s="13"/>
      <c r="BC38" s="13"/>
      <c r="BD38" s="13"/>
      <c r="BE38" s="13"/>
      <c r="BF38" s="14"/>
    </row>
    <row r="39" spans="1:58" s="11" customFormat="1" ht="15" customHeight="1" x14ac:dyDescent="0.2">
      <c r="A39" s="15"/>
      <c r="B39" s="13"/>
      <c r="C39" s="13"/>
      <c r="D39" s="13"/>
      <c r="E39" s="13"/>
      <c r="F39" s="13"/>
      <c r="G39" s="13"/>
      <c r="H39" s="13"/>
      <c r="I39" s="13"/>
      <c r="J39" s="14"/>
      <c r="K39" s="15"/>
      <c r="L39" s="13"/>
      <c r="M39" s="13"/>
      <c r="N39" s="13"/>
      <c r="O39" s="13"/>
      <c r="P39" s="13"/>
      <c r="Q39" s="13"/>
      <c r="R39" s="14"/>
      <c r="S39" s="15"/>
      <c r="T39" s="13"/>
      <c r="U39" s="13"/>
      <c r="V39" s="13"/>
      <c r="W39" s="13"/>
      <c r="X39" s="13"/>
      <c r="Y39" s="13"/>
      <c r="Z39" s="14"/>
      <c r="AA39" s="15"/>
      <c r="AB39" s="13"/>
      <c r="AC39" s="13"/>
      <c r="AD39" s="13"/>
      <c r="AE39" s="13"/>
      <c r="AF39" s="13"/>
      <c r="AG39" s="13"/>
      <c r="AH39" s="14"/>
      <c r="AI39" s="15"/>
      <c r="AJ39" s="13"/>
      <c r="AK39" s="13"/>
      <c r="AL39" s="13"/>
      <c r="AM39" s="13"/>
      <c r="AN39" s="13"/>
      <c r="AO39" s="13"/>
      <c r="AP39" s="14"/>
      <c r="AQ39" s="15"/>
      <c r="AR39" s="13"/>
      <c r="AS39" s="13"/>
      <c r="AT39" s="13"/>
      <c r="AU39" s="13"/>
      <c r="AV39" s="13"/>
      <c r="AW39" s="13"/>
      <c r="AX39" s="14"/>
      <c r="AY39" s="15"/>
      <c r="AZ39" s="13"/>
      <c r="BA39" s="13"/>
      <c r="BB39" s="13"/>
      <c r="BC39" s="13"/>
      <c r="BD39" s="13"/>
      <c r="BE39" s="13"/>
      <c r="BF39" s="14"/>
    </row>
    <row r="40" spans="1:58" s="11" customFormat="1" ht="19.899999999999999" customHeight="1" x14ac:dyDescent="0.2">
      <c r="A40" s="384" t="s">
        <v>100</v>
      </c>
      <c r="B40" s="378"/>
      <c r="C40" s="13"/>
      <c r="D40" s="13"/>
      <c r="E40" s="13"/>
      <c r="F40" s="13"/>
      <c r="G40" s="13"/>
      <c r="H40" s="13"/>
      <c r="I40" s="13"/>
      <c r="J40" s="14"/>
      <c r="K40" s="15"/>
      <c r="L40" s="13"/>
      <c r="M40" s="13"/>
      <c r="N40" s="13"/>
      <c r="O40" s="13"/>
      <c r="P40" s="13"/>
      <c r="Q40" s="13"/>
      <c r="R40" s="14"/>
      <c r="S40" s="15"/>
      <c r="T40" s="13"/>
      <c r="U40" s="13"/>
      <c r="V40" s="13"/>
      <c r="W40" s="13"/>
      <c r="X40" s="13"/>
      <c r="Y40" s="13"/>
      <c r="Z40" s="14"/>
      <c r="AA40" s="15"/>
      <c r="AB40" s="13"/>
      <c r="AC40" s="13"/>
      <c r="AD40" s="13"/>
      <c r="AE40" s="13"/>
      <c r="AF40" s="13"/>
      <c r="AG40" s="13"/>
      <c r="AH40" s="14"/>
      <c r="AI40" s="15"/>
      <c r="AJ40" s="13"/>
      <c r="AK40" s="13"/>
      <c r="AL40" s="13"/>
      <c r="AM40" s="13"/>
      <c r="AN40" s="13"/>
      <c r="AO40" s="13"/>
      <c r="AP40" s="14"/>
      <c r="AQ40" s="15"/>
      <c r="AR40" s="13"/>
      <c r="AS40" s="13"/>
      <c r="AT40" s="13"/>
      <c r="AU40" s="13"/>
      <c r="AV40" s="13"/>
      <c r="AW40" s="13"/>
      <c r="AX40" s="14"/>
      <c r="AY40" s="15"/>
      <c r="AZ40" s="13"/>
      <c r="BA40" s="13"/>
      <c r="BB40" s="13"/>
      <c r="BC40" s="13"/>
      <c r="BD40" s="13"/>
      <c r="BE40" s="13"/>
      <c r="BF40" s="14"/>
    </row>
    <row r="41" spans="1:58" s="11" customFormat="1" ht="19.899999999999999" customHeight="1" x14ac:dyDescent="0.2">
      <c r="A41" s="376"/>
      <c r="B41" s="377"/>
      <c r="C41" s="377"/>
      <c r="D41" s="13"/>
      <c r="E41" s="13"/>
      <c r="F41" s="13"/>
      <c r="G41" s="13"/>
      <c r="H41" s="13"/>
      <c r="I41" s="13"/>
      <c r="J41" s="14"/>
      <c r="K41" s="15"/>
      <c r="L41" s="13"/>
      <c r="M41" s="13"/>
      <c r="N41" s="13"/>
      <c r="O41" s="13"/>
      <c r="P41" s="13"/>
      <c r="Q41" s="13"/>
      <c r="R41" s="14"/>
      <c r="S41" s="15"/>
      <c r="T41" s="13"/>
      <c r="U41" s="13"/>
      <c r="V41" s="13"/>
      <c r="W41" s="13"/>
      <c r="X41" s="13"/>
      <c r="Y41" s="13"/>
      <c r="Z41" s="14"/>
      <c r="AA41" s="15"/>
      <c r="AB41" s="13"/>
      <c r="AC41" s="13"/>
      <c r="AD41" s="13"/>
      <c r="AE41" s="13"/>
      <c r="AF41" s="13"/>
      <c r="AG41" s="13"/>
      <c r="AH41" s="14"/>
      <c r="AI41" s="15"/>
      <c r="AJ41" s="13"/>
      <c r="AK41" s="13"/>
      <c r="AL41" s="13"/>
      <c r="AM41" s="13"/>
      <c r="AN41" s="13"/>
      <c r="AO41" s="13"/>
      <c r="AP41" s="14"/>
      <c r="AQ41" s="15"/>
      <c r="AR41" s="13"/>
      <c r="AS41" s="13"/>
      <c r="AT41" s="13"/>
      <c r="AU41" s="13"/>
      <c r="AV41" s="13"/>
      <c r="AW41" s="13"/>
      <c r="AX41" s="14"/>
      <c r="AY41" s="15"/>
      <c r="AZ41" s="13"/>
      <c r="BA41" s="13"/>
      <c r="BB41" s="13"/>
      <c r="BC41" s="13"/>
      <c r="BD41" s="13"/>
      <c r="BE41" s="13"/>
      <c r="BF41" s="14"/>
    </row>
    <row r="42" spans="1:58" s="11" customFormat="1" ht="19.899999999999999" customHeight="1" x14ac:dyDescent="0.2">
      <c r="A42" s="376"/>
      <c r="B42" s="377"/>
      <c r="C42" s="377"/>
      <c r="D42" s="13"/>
      <c r="E42" s="13"/>
      <c r="F42" s="13"/>
      <c r="G42" s="13"/>
      <c r="H42" s="13"/>
      <c r="I42" s="13"/>
      <c r="J42" s="14"/>
      <c r="K42" s="15"/>
      <c r="L42" s="13"/>
      <c r="M42" s="13"/>
      <c r="N42" s="13"/>
      <c r="O42" s="13"/>
      <c r="P42" s="13"/>
      <c r="Q42" s="13"/>
      <c r="R42" s="14"/>
      <c r="S42" s="15"/>
      <c r="T42" s="13"/>
      <c r="U42" s="13"/>
      <c r="V42" s="13"/>
      <c r="W42" s="13"/>
      <c r="X42" s="13"/>
      <c r="Y42" s="13"/>
      <c r="Z42" s="14"/>
      <c r="AA42" s="15"/>
      <c r="AB42" s="13"/>
      <c r="AC42" s="13"/>
      <c r="AD42" s="13"/>
      <c r="AE42" s="13"/>
      <c r="AF42" s="13"/>
      <c r="AG42" s="13"/>
      <c r="AH42" s="14"/>
      <c r="AI42" s="15"/>
      <c r="AJ42" s="13"/>
      <c r="AK42" s="13"/>
      <c r="AL42" s="13"/>
      <c r="AM42" s="13"/>
      <c r="AN42" s="13"/>
      <c r="AO42" s="13"/>
      <c r="AP42" s="14"/>
      <c r="AQ42" s="15"/>
      <c r="AR42" s="13"/>
      <c r="AS42" s="13"/>
      <c r="AT42" s="13"/>
      <c r="AU42" s="13"/>
      <c r="AV42" s="13"/>
      <c r="AW42" s="13"/>
      <c r="AX42" s="14"/>
      <c r="AY42" s="15"/>
      <c r="AZ42" s="13"/>
      <c r="BA42" s="13"/>
      <c r="BB42" s="13"/>
      <c r="BC42" s="13"/>
      <c r="BD42" s="13"/>
      <c r="BE42" s="13"/>
      <c r="BF42" s="14"/>
    </row>
    <row r="43" spans="1:58" s="11" customFormat="1" ht="19.899999999999999" customHeight="1" x14ac:dyDescent="0.2">
      <c r="A43" s="15"/>
      <c r="B43" s="13"/>
      <c r="C43" s="13"/>
      <c r="D43" s="13"/>
      <c r="E43" s="13"/>
      <c r="F43" s="13"/>
      <c r="G43" s="13"/>
      <c r="H43" s="13"/>
      <c r="I43" s="13"/>
      <c r="J43" s="14"/>
      <c r="K43" s="15"/>
      <c r="L43" s="13"/>
      <c r="M43" s="13"/>
      <c r="N43" s="13"/>
      <c r="O43" s="13"/>
      <c r="P43" s="13"/>
      <c r="Q43" s="13"/>
      <c r="R43" s="14"/>
      <c r="S43" s="15"/>
      <c r="T43" s="13"/>
      <c r="U43" s="13"/>
      <c r="V43" s="13"/>
      <c r="W43" s="13"/>
      <c r="X43" s="13"/>
      <c r="Y43" s="13"/>
      <c r="Z43" s="14"/>
      <c r="AA43" s="15"/>
      <c r="AB43" s="13"/>
      <c r="AC43" s="13"/>
      <c r="AD43" s="13"/>
      <c r="AE43" s="13"/>
      <c r="AF43" s="13"/>
      <c r="AG43" s="13"/>
      <c r="AH43" s="14"/>
      <c r="AI43" s="15"/>
      <c r="AJ43" s="13"/>
      <c r="AK43" s="13"/>
      <c r="AL43" s="13"/>
      <c r="AM43" s="13"/>
      <c r="AN43" s="13"/>
      <c r="AO43" s="13"/>
      <c r="AP43" s="14"/>
      <c r="AQ43" s="15"/>
      <c r="AR43" s="13"/>
      <c r="AS43" s="13"/>
      <c r="AT43" s="13"/>
      <c r="AU43" s="13"/>
      <c r="AV43" s="13"/>
      <c r="AW43" s="13"/>
      <c r="AX43" s="14"/>
      <c r="AY43" s="15"/>
      <c r="AZ43" s="13"/>
      <c r="BA43" s="13"/>
      <c r="BB43" s="13"/>
      <c r="BC43" s="13"/>
      <c r="BD43" s="13"/>
      <c r="BE43" s="13"/>
      <c r="BF43" s="14"/>
    </row>
    <row r="44" spans="1:58" ht="19.899999999999999" customHeight="1" x14ac:dyDescent="0.2">
      <c r="A44" s="15"/>
      <c r="B44" s="13"/>
      <c r="C44" s="13"/>
      <c r="D44" s="13"/>
      <c r="E44" s="13"/>
      <c r="F44" s="13"/>
      <c r="G44" s="13"/>
      <c r="H44" s="13"/>
      <c r="I44" s="13"/>
      <c r="J44" s="14"/>
      <c r="K44" s="15"/>
      <c r="L44" s="13"/>
      <c r="M44" s="13"/>
      <c r="N44" s="13"/>
      <c r="O44" s="13"/>
      <c r="P44" s="13"/>
      <c r="Q44" s="13"/>
      <c r="R44" s="14"/>
      <c r="S44" s="15"/>
      <c r="T44" s="13"/>
      <c r="U44" s="13"/>
      <c r="V44" s="13"/>
      <c r="W44" s="13"/>
      <c r="X44" s="13"/>
      <c r="Y44" s="13"/>
      <c r="Z44" s="14"/>
      <c r="AA44" s="15"/>
      <c r="AB44" s="13"/>
      <c r="AC44" s="13"/>
      <c r="AD44" s="13"/>
      <c r="AE44" s="13"/>
      <c r="AF44" s="13"/>
      <c r="AG44" s="13"/>
      <c r="AH44" s="14"/>
      <c r="AI44" s="15"/>
      <c r="AJ44" s="13"/>
      <c r="AK44" s="13"/>
      <c r="AL44" s="13"/>
      <c r="AM44" s="13"/>
      <c r="AN44" s="13"/>
      <c r="AO44" s="13"/>
      <c r="AP44" s="14"/>
      <c r="AQ44" s="15"/>
      <c r="AR44" s="13"/>
      <c r="AS44" s="13"/>
      <c r="AT44" s="13"/>
      <c r="AU44" s="13"/>
      <c r="AV44" s="13"/>
      <c r="AW44" s="13"/>
      <c r="AX44" s="14"/>
      <c r="AY44" s="15"/>
      <c r="AZ44" s="13"/>
      <c r="BA44" s="13"/>
      <c r="BB44" s="13"/>
      <c r="BC44" s="13"/>
      <c r="BD44" s="13"/>
      <c r="BE44" s="13"/>
      <c r="BF44" s="14"/>
    </row>
    <row r="45" spans="1:58" ht="19.899999999999999" customHeight="1" x14ac:dyDescent="0.2">
      <c r="A45" s="15"/>
      <c r="B45" s="13"/>
      <c r="C45" s="13"/>
      <c r="D45" s="13"/>
      <c r="E45" s="13"/>
      <c r="F45" s="13"/>
      <c r="G45" s="13"/>
      <c r="H45" s="13"/>
      <c r="I45" s="13"/>
      <c r="J45" s="14"/>
      <c r="K45" s="15"/>
      <c r="L45" s="13"/>
      <c r="M45" s="13"/>
      <c r="N45" s="13"/>
      <c r="O45" s="13"/>
      <c r="P45" s="13"/>
      <c r="Q45" s="13"/>
      <c r="R45" s="14"/>
      <c r="S45" s="15"/>
      <c r="T45" s="13"/>
      <c r="U45" s="13"/>
      <c r="V45" s="13"/>
      <c r="W45" s="13"/>
      <c r="X45" s="13"/>
      <c r="Y45" s="13"/>
      <c r="Z45" s="14"/>
      <c r="AA45" s="15"/>
      <c r="AB45" s="13"/>
      <c r="AC45" s="13"/>
      <c r="AD45" s="13"/>
      <c r="AE45" s="13"/>
      <c r="AF45" s="13"/>
      <c r="AG45" s="13"/>
      <c r="AH45" s="14"/>
      <c r="AI45" s="15"/>
      <c r="AJ45" s="13"/>
      <c r="AK45" s="13"/>
      <c r="AL45" s="13"/>
      <c r="AM45" s="13"/>
      <c r="AN45" s="13"/>
      <c r="AO45" s="13"/>
      <c r="AP45" s="14"/>
      <c r="AQ45" s="15"/>
      <c r="AR45" s="13"/>
      <c r="AS45" s="13"/>
      <c r="AT45" s="13"/>
      <c r="AU45" s="13"/>
      <c r="AV45" s="13"/>
      <c r="AW45" s="13"/>
      <c r="AX45" s="14"/>
      <c r="AY45" s="15"/>
      <c r="AZ45" s="13"/>
      <c r="BA45" s="13"/>
      <c r="BB45" s="13"/>
      <c r="BC45" s="13"/>
      <c r="BD45" s="13"/>
      <c r="BE45" s="13"/>
      <c r="BF45" s="14"/>
    </row>
    <row r="46" spans="1:58" ht="19.899999999999999" customHeight="1" x14ac:dyDescent="0.2">
      <c r="A46" s="15"/>
      <c r="B46" s="13"/>
      <c r="C46" s="13"/>
      <c r="D46" s="13"/>
      <c r="E46" s="13"/>
      <c r="F46" s="13"/>
      <c r="G46" s="13"/>
      <c r="H46" s="13"/>
      <c r="I46" s="13"/>
      <c r="J46" s="14"/>
      <c r="K46" s="15"/>
      <c r="L46" s="13"/>
      <c r="M46" s="13"/>
      <c r="N46" s="13"/>
      <c r="O46" s="13"/>
      <c r="P46" s="13"/>
      <c r="Q46" s="13"/>
      <c r="R46" s="14"/>
      <c r="S46" s="15"/>
      <c r="T46" s="13"/>
      <c r="U46" s="13"/>
      <c r="V46" s="13"/>
      <c r="W46" s="13"/>
      <c r="X46" s="13"/>
      <c r="Y46" s="13"/>
      <c r="Z46" s="14"/>
      <c r="AA46" s="15"/>
      <c r="AB46" s="13"/>
      <c r="AC46" s="13"/>
      <c r="AD46" s="13"/>
      <c r="AE46" s="13"/>
      <c r="AF46" s="13"/>
      <c r="AG46" s="13"/>
      <c r="AH46" s="14"/>
      <c r="AI46" s="15"/>
      <c r="AJ46" s="13"/>
      <c r="AK46" s="13"/>
      <c r="AL46" s="13"/>
      <c r="AM46" s="13"/>
      <c r="AN46" s="13"/>
      <c r="AO46" s="13"/>
      <c r="AP46" s="14"/>
      <c r="AQ46" s="15"/>
      <c r="AR46" s="13"/>
      <c r="AS46" s="13"/>
      <c r="AT46" s="13"/>
      <c r="AU46" s="13"/>
      <c r="AV46" s="13"/>
      <c r="AW46" s="13"/>
      <c r="AX46" s="14"/>
      <c r="AY46" s="15"/>
      <c r="AZ46" s="13"/>
      <c r="BA46" s="13"/>
      <c r="BB46" s="13"/>
      <c r="BC46" s="13"/>
      <c r="BD46" s="13"/>
      <c r="BE46" s="13"/>
      <c r="BF46" s="14"/>
    </row>
    <row r="47" spans="1:58" ht="19.899999999999999" customHeight="1" x14ac:dyDescent="0.2">
      <c r="A47" s="384" t="s">
        <v>101</v>
      </c>
      <c r="B47" s="378"/>
      <c r="C47" s="13"/>
      <c r="D47" s="13"/>
      <c r="E47" s="13"/>
      <c r="F47" s="13"/>
      <c r="G47" s="13"/>
      <c r="H47" s="13"/>
      <c r="I47" s="13"/>
      <c r="J47" s="14"/>
      <c r="K47" s="15"/>
      <c r="L47" s="13"/>
      <c r="M47" s="13"/>
      <c r="N47" s="13"/>
      <c r="O47" s="13"/>
      <c r="P47" s="13"/>
      <c r="Q47" s="13"/>
      <c r="R47" s="14"/>
      <c r="S47" s="15"/>
      <c r="T47" s="13"/>
      <c r="U47" s="13"/>
      <c r="V47" s="13"/>
      <c r="W47" s="13"/>
      <c r="X47" s="13"/>
      <c r="Y47" s="13"/>
      <c r="Z47" s="14"/>
      <c r="AA47" s="15"/>
      <c r="AB47" s="13"/>
      <c r="AC47" s="13"/>
      <c r="AD47" s="13"/>
      <c r="AE47" s="13"/>
      <c r="AF47" s="13"/>
      <c r="AG47" s="13"/>
      <c r="AH47" s="14"/>
      <c r="AI47" s="15"/>
      <c r="AJ47" s="13"/>
      <c r="AK47" s="13"/>
      <c r="AL47" s="13"/>
      <c r="AM47" s="13"/>
      <c r="AN47" s="13"/>
      <c r="AO47" s="13"/>
      <c r="AP47" s="14"/>
      <c r="AQ47" s="15"/>
      <c r="AR47" s="13"/>
      <c r="AS47" s="13"/>
      <c r="AT47" s="13"/>
      <c r="AU47" s="13"/>
      <c r="AV47" s="13"/>
      <c r="AW47" s="13"/>
      <c r="AX47" s="14"/>
      <c r="AY47" s="15"/>
      <c r="AZ47" s="13"/>
      <c r="BA47" s="13"/>
      <c r="BB47" s="13"/>
      <c r="BC47" s="13"/>
      <c r="BD47" s="13"/>
      <c r="BE47" s="13"/>
      <c r="BF47" s="14"/>
    </row>
    <row r="48" spans="1:58" ht="19.899999999999999" customHeight="1" x14ac:dyDescent="0.2">
      <c r="A48" s="449"/>
      <c r="B48" s="450"/>
      <c r="C48" s="13"/>
      <c r="D48" s="13"/>
      <c r="E48" s="13"/>
      <c r="F48" s="13"/>
      <c r="G48" s="13"/>
      <c r="H48" s="13"/>
      <c r="I48" s="13"/>
      <c r="J48" s="14"/>
      <c r="K48" s="15"/>
      <c r="L48" s="13"/>
      <c r="M48" s="13"/>
      <c r="N48" s="13"/>
      <c r="O48" s="13"/>
      <c r="P48" s="13"/>
      <c r="Q48" s="13"/>
      <c r="R48" s="14"/>
      <c r="S48" s="15"/>
      <c r="T48" s="13"/>
      <c r="U48" s="13"/>
      <c r="V48" s="13"/>
      <c r="W48" s="13"/>
      <c r="X48" s="13"/>
      <c r="Y48" s="13"/>
      <c r="Z48" s="14"/>
      <c r="AA48" s="15"/>
      <c r="AB48" s="13"/>
      <c r="AC48" s="13"/>
      <c r="AD48" s="13"/>
      <c r="AE48" s="13"/>
      <c r="AF48" s="13"/>
      <c r="AG48" s="13"/>
      <c r="AH48" s="14"/>
      <c r="AI48" s="15"/>
      <c r="AJ48" s="13"/>
      <c r="AK48" s="13"/>
      <c r="AL48" s="13"/>
      <c r="AM48" s="13"/>
      <c r="AN48" s="13"/>
      <c r="AO48" s="13"/>
      <c r="AP48" s="14"/>
      <c r="AQ48" s="15"/>
      <c r="AR48" s="13"/>
      <c r="AS48" s="13"/>
      <c r="AT48" s="13"/>
      <c r="AU48" s="13"/>
      <c r="AV48" s="13"/>
      <c r="AW48" s="13"/>
      <c r="AX48" s="14"/>
      <c r="AY48" s="15"/>
      <c r="AZ48" s="13"/>
      <c r="BA48" s="13"/>
      <c r="BB48" s="13"/>
      <c r="BC48" s="13"/>
      <c r="BD48" s="13"/>
      <c r="BE48" s="13"/>
      <c r="BF48" s="14"/>
    </row>
    <row r="49" spans="1:58" ht="19.899999999999999" customHeight="1" x14ac:dyDescent="0.2">
      <c r="A49" s="449"/>
      <c r="B49" s="450"/>
      <c r="C49" s="13"/>
      <c r="D49" s="13"/>
      <c r="E49" s="13"/>
      <c r="F49" s="13"/>
      <c r="G49" s="13"/>
      <c r="H49" s="13"/>
      <c r="I49" s="13"/>
      <c r="J49" s="14"/>
      <c r="K49" s="15"/>
      <c r="L49" s="13"/>
      <c r="M49" s="13"/>
      <c r="N49" s="13"/>
      <c r="O49" s="13"/>
      <c r="P49" s="13"/>
      <c r="Q49" s="13"/>
      <c r="R49" s="14"/>
      <c r="S49" s="15"/>
      <c r="T49" s="13"/>
      <c r="U49" s="13"/>
      <c r="V49" s="13"/>
      <c r="W49" s="13"/>
      <c r="X49" s="13"/>
      <c r="Y49" s="13"/>
      <c r="Z49" s="14"/>
      <c r="AA49" s="15"/>
      <c r="AB49" s="13"/>
      <c r="AC49" s="13"/>
      <c r="AD49" s="13"/>
      <c r="AE49" s="13"/>
      <c r="AF49" s="13"/>
      <c r="AG49" s="13"/>
      <c r="AH49" s="14"/>
      <c r="AI49" s="15"/>
      <c r="AJ49" s="13"/>
      <c r="AK49" s="13"/>
      <c r="AL49" s="13"/>
      <c r="AM49" s="13"/>
      <c r="AN49" s="13"/>
      <c r="AO49" s="13"/>
      <c r="AP49" s="14"/>
      <c r="AQ49" s="15"/>
      <c r="AR49" s="13"/>
      <c r="AS49" s="13"/>
      <c r="AT49" s="13"/>
      <c r="AU49" s="13"/>
      <c r="AV49" s="13"/>
      <c r="AW49" s="13"/>
      <c r="AX49" s="14"/>
      <c r="AY49" s="15"/>
      <c r="AZ49" s="13"/>
      <c r="BA49" s="13"/>
      <c r="BB49" s="13"/>
      <c r="BC49" s="13"/>
      <c r="BD49" s="13"/>
      <c r="BE49" s="13"/>
      <c r="BF49" s="14"/>
    </row>
    <row r="50" spans="1:58" ht="25.9" customHeight="1" x14ac:dyDescent="0.2">
      <c r="A50" s="449"/>
      <c r="B50" s="450"/>
      <c r="C50" s="13"/>
      <c r="D50" s="13"/>
      <c r="E50" s="13"/>
      <c r="F50" s="13"/>
      <c r="G50" s="13"/>
      <c r="H50" s="13"/>
      <c r="I50" s="13"/>
      <c r="J50" s="14"/>
      <c r="K50" s="15"/>
      <c r="L50" s="13"/>
      <c r="M50" s="13"/>
      <c r="N50" s="13"/>
      <c r="O50" s="13"/>
      <c r="P50" s="13"/>
      <c r="Q50" s="13"/>
      <c r="R50" s="14"/>
      <c r="S50" s="15"/>
      <c r="T50" s="13"/>
      <c r="U50" s="13"/>
      <c r="V50" s="13"/>
      <c r="W50" s="13"/>
      <c r="X50" s="13"/>
      <c r="Y50" s="13"/>
      <c r="Z50" s="14"/>
      <c r="AA50" s="15"/>
      <c r="AB50" s="13"/>
      <c r="AC50" s="13"/>
      <c r="AD50" s="13"/>
      <c r="AE50" s="13"/>
      <c r="AF50" s="13"/>
      <c r="AG50" s="13"/>
      <c r="AH50" s="14"/>
      <c r="AI50" s="15"/>
      <c r="AJ50" s="13"/>
      <c r="AK50" s="13"/>
      <c r="AL50" s="13"/>
      <c r="AM50" s="13"/>
      <c r="AN50" s="13"/>
      <c r="AO50" s="13"/>
      <c r="AP50" s="14"/>
      <c r="AQ50" s="15"/>
      <c r="AR50" s="13"/>
      <c r="AS50" s="13"/>
      <c r="AT50" s="13"/>
      <c r="AU50" s="13"/>
      <c r="AV50" s="13"/>
      <c r="AW50" s="13"/>
      <c r="AX50" s="14"/>
      <c r="AY50" s="15"/>
      <c r="AZ50" s="13"/>
      <c r="BA50" s="13"/>
      <c r="BB50" s="13"/>
      <c r="BC50" s="13"/>
      <c r="BD50" s="13"/>
      <c r="BE50" s="13"/>
      <c r="BF50" s="14"/>
    </row>
    <row r="51" spans="1:58" ht="25.9" customHeight="1" x14ac:dyDescent="0.2">
      <c r="A51" s="15"/>
      <c r="B51" s="13"/>
      <c r="C51" s="13"/>
      <c r="D51" s="13"/>
      <c r="E51" s="13"/>
      <c r="F51" s="13"/>
      <c r="G51" s="13"/>
      <c r="H51" s="13"/>
      <c r="I51" s="13"/>
      <c r="J51" s="14"/>
      <c r="K51" s="15"/>
      <c r="L51" s="13"/>
      <c r="M51" s="13"/>
      <c r="N51" s="13"/>
      <c r="O51" s="13"/>
      <c r="P51" s="13"/>
      <c r="Q51" s="13"/>
      <c r="R51" s="14"/>
      <c r="S51" s="15"/>
      <c r="T51" s="13"/>
      <c r="U51" s="13"/>
      <c r="V51" s="13"/>
      <c r="W51" s="13"/>
      <c r="X51" s="13"/>
      <c r="Y51" s="13"/>
      <c r="Z51" s="14"/>
      <c r="AA51" s="15"/>
      <c r="AB51" s="13"/>
      <c r="AC51" s="13"/>
      <c r="AD51" s="13"/>
      <c r="AE51" s="13"/>
      <c r="AF51" s="13"/>
      <c r="AG51" s="13"/>
      <c r="AH51" s="14"/>
      <c r="AI51" s="15"/>
      <c r="AJ51" s="13"/>
      <c r="AK51" s="13"/>
      <c r="AL51" s="13"/>
      <c r="AM51" s="13"/>
      <c r="AN51" s="13"/>
      <c r="AO51" s="13"/>
      <c r="AP51" s="14"/>
      <c r="AQ51" s="15"/>
      <c r="AR51" s="13"/>
      <c r="AS51" s="13"/>
      <c r="AT51" s="13"/>
      <c r="AU51" s="13"/>
      <c r="AV51" s="13"/>
      <c r="AW51" s="13"/>
      <c r="AX51" s="14"/>
      <c r="AY51" s="15"/>
      <c r="AZ51" s="13"/>
      <c r="BA51" s="13"/>
      <c r="BB51" s="13"/>
      <c r="BC51" s="13"/>
      <c r="BD51" s="13"/>
      <c r="BE51" s="13"/>
      <c r="BF51" s="14"/>
    </row>
    <row r="52" spans="1:58" ht="25.9" customHeight="1" x14ac:dyDescent="0.2">
      <c r="A52" s="15"/>
      <c r="B52" s="13"/>
      <c r="C52" s="13"/>
      <c r="D52" s="13"/>
      <c r="E52" s="13"/>
      <c r="F52" s="13"/>
      <c r="G52" s="13"/>
      <c r="H52" s="13"/>
      <c r="I52" s="13"/>
      <c r="J52" s="14"/>
      <c r="K52" s="15"/>
      <c r="L52" s="13"/>
      <c r="M52" s="13"/>
      <c r="N52" s="13"/>
      <c r="O52" s="13"/>
      <c r="P52" s="13"/>
      <c r="Q52" s="13"/>
      <c r="R52" s="14"/>
      <c r="S52" s="15"/>
      <c r="T52" s="13"/>
      <c r="U52" s="13"/>
      <c r="V52" s="13"/>
      <c r="W52" s="13"/>
      <c r="X52" s="13"/>
      <c r="Y52" s="13"/>
      <c r="Z52" s="14"/>
      <c r="AA52" s="15"/>
      <c r="AB52" s="13"/>
      <c r="AC52" s="13"/>
      <c r="AD52" s="13"/>
      <c r="AE52" s="13"/>
      <c r="AF52" s="13"/>
      <c r="AG52" s="13"/>
      <c r="AH52" s="14"/>
      <c r="AI52" s="15"/>
      <c r="AJ52" s="13"/>
      <c r="AK52" s="13"/>
      <c r="AL52" s="13"/>
      <c r="AM52" s="13"/>
      <c r="AN52" s="13"/>
      <c r="AO52" s="13"/>
      <c r="AP52" s="14"/>
      <c r="AQ52" s="15"/>
      <c r="AR52" s="13"/>
      <c r="AS52" s="13"/>
      <c r="AT52" s="13"/>
      <c r="AU52" s="13"/>
      <c r="AV52" s="13"/>
      <c r="AW52" s="13"/>
      <c r="AX52" s="14"/>
      <c r="AY52" s="15"/>
      <c r="AZ52" s="13"/>
      <c r="BA52" s="13"/>
      <c r="BB52" s="13"/>
      <c r="BC52" s="13"/>
      <c r="BD52" s="13"/>
      <c r="BE52" s="13"/>
      <c r="BF52" s="14"/>
    </row>
    <row r="53" spans="1:58" ht="25.9" customHeight="1" x14ac:dyDescent="0.2">
      <c r="A53" s="15"/>
      <c r="B53" s="13"/>
      <c r="C53" s="13"/>
      <c r="D53" s="13"/>
      <c r="E53" s="13"/>
      <c r="F53" s="13"/>
      <c r="G53" s="13"/>
      <c r="H53" s="13"/>
      <c r="I53" s="13"/>
      <c r="J53" s="14"/>
      <c r="K53" s="15"/>
      <c r="L53" s="13"/>
      <c r="M53" s="13"/>
      <c r="N53" s="13"/>
      <c r="O53" s="13"/>
      <c r="P53" s="13"/>
      <c r="Q53" s="13"/>
      <c r="R53" s="14"/>
      <c r="S53" s="15"/>
      <c r="T53" s="13"/>
      <c r="U53" s="13"/>
      <c r="V53" s="13"/>
      <c r="W53" s="13"/>
      <c r="X53" s="13"/>
      <c r="Y53" s="13"/>
      <c r="Z53" s="14"/>
      <c r="AA53" s="15"/>
      <c r="AB53" s="13"/>
      <c r="AC53" s="13"/>
      <c r="AD53" s="13"/>
      <c r="AE53" s="13"/>
      <c r="AF53" s="13"/>
      <c r="AG53" s="13"/>
      <c r="AH53" s="14"/>
      <c r="AI53" s="15"/>
      <c r="AJ53" s="13"/>
      <c r="AK53" s="13"/>
      <c r="AL53" s="13"/>
      <c r="AM53" s="13"/>
      <c r="AN53" s="13"/>
      <c r="AO53" s="13"/>
      <c r="AP53" s="14"/>
      <c r="AQ53" s="15"/>
      <c r="AR53" s="13"/>
      <c r="AS53" s="13"/>
      <c r="AT53" s="13"/>
      <c r="AU53" s="13"/>
      <c r="AV53" s="13"/>
      <c r="AW53" s="13"/>
      <c r="AX53" s="14"/>
      <c r="AY53" s="15"/>
      <c r="AZ53" s="13"/>
      <c r="BA53" s="13"/>
      <c r="BB53" s="13"/>
      <c r="BC53" s="13"/>
      <c r="BD53" s="13"/>
      <c r="BE53" s="13"/>
      <c r="BF53" s="14"/>
    </row>
    <row r="54" spans="1:58" ht="25.9" customHeight="1" x14ac:dyDescent="0.2">
      <c r="A54" s="15"/>
      <c r="B54" s="13"/>
      <c r="C54" s="13"/>
      <c r="D54" s="13"/>
      <c r="E54" s="13"/>
      <c r="F54" s="378" t="s">
        <v>102</v>
      </c>
      <c r="G54" s="378"/>
      <c r="H54" s="13"/>
      <c r="I54" s="13"/>
      <c r="J54" s="14"/>
      <c r="K54" s="15"/>
      <c r="L54" s="13"/>
      <c r="M54" s="13"/>
      <c r="N54" s="13"/>
      <c r="O54" s="13"/>
      <c r="P54" s="13"/>
      <c r="Q54" s="13"/>
      <c r="R54" s="14"/>
      <c r="S54" s="15"/>
      <c r="T54" s="13"/>
      <c r="U54" s="13"/>
      <c r="V54" s="13"/>
      <c r="W54" s="13"/>
      <c r="X54" s="13"/>
      <c r="Y54" s="13"/>
      <c r="Z54" s="14"/>
      <c r="AA54" s="15"/>
      <c r="AB54" s="13"/>
      <c r="AC54" s="13"/>
      <c r="AD54" s="13"/>
      <c r="AE54" s="13"/>
      <c r="AF54" s="13"/>
      <c r="AG54" s="13"/>
      <c r="AH54" s="14"/>
      <c r="AI54" s="15"/>
      <c r="AJ54" s="13"/>
      <c r="AK54" s="13"/>
      <c r="AL54" s="13"/>
      <c r="AM54" s="13"/>
      <c r="AN54" s="13"/>
      <c r="AO54" s="13"/>
      <c r="AP54" s="14"/>
      <c r="AQ54" s="15"/>
      <c r="AR54" s="13"/>
      <c r="AS54" s="13"/>
      <c r="AT54" s="13"/>
      <c r="AU54" s="13"/>
      <c r="AV54" s="13"/>
      <c r="AW54" s="13"/>
      <c r="AX54" s="14"/>
      <c r="AY54" s="15"/>
      <c r="AZ54" s="13"/>
      <c r="BA54" s="13"/>
      <c r="BB54" s="13"/>
      <c r="BC54" s="13"/>
      <c r="BD54" s="13"/>
      <c r="BE54" s="13"/>
      <c r="BF54" s="14"/>
    </row>
    <row r="55" spans="1:58" ht="25.9" customHeight="1" thickBo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8"/>
      <c r="K55" s="16"/>
      <c r="L55" s="17"/>
      <c r="M55" s="17"/>
      <c r="N55" s="17"/>
      <c r="O55" s="17"/>
      <c r="P55" s="17"/>
      <c r="Q55" s="17"/>
      <c r="R55" s="18"/>
      <c r="S55" s="16"/>
      <c r="T55" s="17"/>
      <c r="U55" s="17"/>
      <c r="V55" s="17"/>
      <c r="W55" s="17"/>
      <c r="X55" s="17"/>
      <c r="Y55" s="17"/>
      <c r="Z55" s="18"/>
      <c r="AA55" s="16"/>
      <c r="AB55" s="17"/>
      <c r="AC55" s="17"/>
      <c r="AD55" s="17"/>
      <c r="AE55" s="17"/>
      <c r="AF55" s="17"/>
      <c r="AG55" s="17"/>
      <c r="AH55" s="18"/>
      <c r="AI55" s="16"/>
      <c r="AJ55" s="17"/>
      <c r="AK55" s="17"/>
      <c r="AL55" s="17"/>
      <c r="AM55" s="17"/>
      <c r="AN55" s="17"/>
      <c r="AO55" s="17"/>
      <c r="AP55" s="18"/>
      <c r="AQ55" s="16"/>
      <c r="AR55" s="17"/>
      <c r="AS55" s="17"/>
      <c r="AT55" s="17"/>
      <c r="AU55" s="17"/>
      <c r="AV55" s="17"/>
      <c r="AW55" s="17"/>
      <c r="AX55" s="18"/>
      <c r="AY55" s="16"/>
      <c r="AZ55" s="17"/>
      <c r="BA55" s="17"/>
      <c r="BB55" s="17"/>
      <c r="BC55" s="17"/>
      <c r="BD55" s="17"/>
      <c r="BE55" s="17"/>
      <c r="BF55" s="18"/>
    </row>
    <row r="56" spans="1:58" x14ac:dyDescent="0.2"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 spans="1:58" x14ac:dyDescent="0.2"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 spans="1:58" x14ac:dyDescent="0.2"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 spans="1:58" x14ac:dyDescent="0.2"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 spans="1:58" ht="31.9" customHeight="1" x14ac:dyDescent="0.2"/>
    <row r="61" spans="1:58" ht="34.15" customHeight="1" x14ac:dyDescent="0.2">
      <c r="S61" s="338"/>
      <c r="T61" s="338"/>
      <c r="U61" s="338"/>
      <c r="V61" s="338"/>
      <c r="W61" s="338"/>
    </row>
    <row r="62" spans="1:58" ht="34.15" customHeight="1" x14ac:dyDescent="0.2">
      <c r="S62" s="338"/>
      <c r="T62" s="338"/>
      <c r="U62" s="338"/>
      <c r="V62" s="338"/>
      <c r="W62" s="338"/>
    </row>
    <row r="63" spans="1:58" ht="34.15" customHeight="1" x14ac:dyDescent="0.2">
      <c r="S63" s="338"/>
      <c r="T63" s="338"/>
      <c r="U63" s="338"/>
      <c r="V63" s="338"/>
      <c r="W63" s="338"/>
    </row>
    <row r="64" spans="1:58" ht="34.15" customHeight="1" x14ac:dyDescent="0.2">
      <c r="S64" s="338"/>
      <c r="T64" s="338"/>
      <c r="U64" s="338"/>
      <c r="V64" s="338"/>
      <c r="W64" s="338"/>
    </row>
    <row r="65" spans="19:26" ht="34.15" customHeight="1" x14ac:dyDescent="0.2">
      <c r="S65" s="341"/>
      <c r="T65" s="341"/>
      <c r="U65" s="341"/>
      <c r="V65" s="341"/>
      <c r="W65" s="341"/>
    </row>
    <row r="66" spans="19:26" ht="34.15" customHeight="1" x14ac:dyDescent="0.2">
      <c r="S66" s="338"/>
      <c r="T66" s="338"/>
      <c r="U66" s="338"/>
      <c r="V66" s="338"/>
      <c r="W66" s="338"/>
    </row>
    <row r="67" spans="19:26" ht="34.15" customHeight="1" x14ac:dyDescent="0.2">
      <c r="S67" s="10"/>
      <c r="T67" s="10"/>
      <c r="U67" s="10"/>
      <c r="V67" s="10"/>
      <c r="W67" s="10"/>
      <c r="X67" s="10"/>
      <c r="Y67" s="339"/>
      <c r="Z67" s="339"/>
    </row>
    <row r="68" spans="19:26" ht="15" x14ac:dyDescent="0.2">
      <c r="S68" s="340"/>
      <c r="T68" s="340"/>
      <c r="U68" s="340"/>
      <c r="V68" s="340"/>
      <c r="W68" s="340"/>
      <c r="X68" s="10"/>
      <c r="Y68" s="339"/>
      <c r="Z68" s="339"/>
    </row>
    <row r="69" spans="19:26" x14ac:dyDescent="0.2">
      <c r="S69" s="10"/>
      <c r="T69" s="10"/>
      <c r="U69" s="10"/>
      <c r="V69" s="10"/>
      <c r="W69" s="10"/>
      <c r="X69" s="10"/>
      <c r="Y69" s="339"/>
      <c r="Z69" s="339"/>
    </row>
    <row r="70" spans="19:26" ht="15" x14ac:dyDescent="0.2">
      <c r="S70" s="338"/>
      <c r="T70" s="338"/>
      <c r="U70" s="338"/>
      <c r="V70" s="338"/>
      <c r="W70" s="338"/>
      <c r="X70" s="10"/>
      <c r="Y70" s="339"/>
      <c r="Z70" s="339"/>
    </row>
    <row r="71" spans="19:26" x14ac:dyDescent="0.2">
      <c r="S71" s="340"/>
      <c r="T71" s="340"/>
      <c r="U71" s="340"/>
      <c r="V71" s="340"/>
      <c r="W71" s="340"/>
      <c r="X71" s="340"/>
      <c r="Y71" s="339"/>
      <c r="Z71" s="339"/>
    </row>
    <row r="72" spans="19:26" x14ac:dyDescent="0.2">
      <c r="S72" s="340"/>
      <c r="T72" s="340"/>
      <c r="U72" s="340"/>
      <c r="V72" s="340"/>
      <c r="W72" s="340"/>
      <c r="X72" s="340"/>
      <c r="Y72" s="339"/>
      <c r="Z72" s="339"/>
    </row>
    <row r="73" spans="19:26" x14ac:dyDescent="0.2">
      <c r="S73" s="338"/>
      <c r="T73" s="338"/>
      <c r="U73" s="338"/>
      <c r="V73" s="338"/>
      <c r="W73" s="338"/>
      <c r="X73" s="338"/>
      <c r="Y73" s="339"/>
      <c r="Z73" s="339"/>
    </row>
    <row r="74" spans="19:26" x14ac:dyDescent="0.2">
      <c r="S74" s="338"/>
      <c r="T74" s="338"/>
      <c r="U74" s="338"/>
      <c r="V74" s="338"/>
      <c r="W74" s="338"/>
      <c r="X74" s="338"/>
      <c r="Y74" s="339"/>
      <c r="Z74" s="339"/>
    </row>
    <row r="75" spans="19:26" x14ac:dyDescent="0.2">
      <c r="S75" s="340"/>
      <c r="T75" s="340"/>
      <c r="U75" s="340"/>
      <c r="V75" s="340"/>
      <c r="W75" s="340"/>
      <c r="X75" s="340"/>
      <c r="Y75" s="339"/>
      <c r="Z75" s="339"/>
    </row>
    <row r="76" spans="19:26" x14ac:dyDescent="0.2">
      <c r="S76" s="340"/>
      <c r="T76" s="340"/>
      <c r="U76" s="340"/>
      <c r="V76" s="340"/>
      <c r="W76" s="340"/>
      <c r="X76" s="340"/>
      <c r="Y76" s="339"/>
      <c r="Z76" s="339"/>
    </row>
    <row r="77" spans="19:26" x14ac:dyDescent="0.2">
      <c r="S77" s="338"/>
      <c r="T77" s="338"/>
      <c r="U77" s="338"/>
      <c r="V77" s="338"/>
      <c r="W77" s="338"/>
      <c r="X77" s="338"/>
      <c r="Y77" s="339"/>
      <c r="Z77" s="339"/>
    </row>
    <row r="78" spans="19:26" x14ac:dyDescent="0.2">
      <c r="S78" s="338"/>
      <c r="T78" s="338"/>
      <c r="U78" s="338"/>
      <c r="V78" s="338"/>
      <c r="W78" s="338"/>
      <c r="X78" s="338"/>
      <c r="Y78" s="339"/>
      <c r="Z78" s="339"/>
    </row>
    <row r="79" spans="19:26" x14ac:dyDescent="0.2">
      <c r="S79" s="338"/>
      <c r="T79" s="338"/>
      <c r="U79" s="338"/>
      <c r="V79" s="338"/>
      <c r="W79" s="338"/>
      <c r="X79" s="338"/>
      <c r="Y79" s="339"/>
      <c r="Z79" s="339"/>
    </row>
    <row r="80" spans="19:26" x14ac:dyDescent="0.2">
      <c r="S80" s="338"/>
      <c r="T80" s="338"/>
      <c r="U80" s="338"/>
      <c r="V80" s="338"/>
      <c r="W80" s="338"/>
      <c r="X80" s="338"/>
      <c r="Y80" s="339"/>
      <c r="Z80" s="339"/>
    </row>
    <row r="81" spans="19:26" x14ac:dyDescent="0.2">
      <c r="S81" s="338"/>
      <c r="T81" s="338"/>
      <c r="U81" s="338"/>
      <c r="V81" s="338"/>
      <c r="W81" s="338"/>
      <c r="X81" s="338"/>
      <c r="Y81" s="339"/>
      <c r="Z81" s="339"/>
    </row>
    <row r="82" spans="19:26" x14ac:dyDescent="0.2">
      <c r="S82" s="338"/>
      <c r="T82" s="338"/>
      <c r="U82" s="338"/>
      <c r="V82" s="338"/>
      <c r="W82" s="338"/>
      <c r="X82" s="338"/>
      <c r="Y82" s="339"/>
      <c r="Z82" s="339"/>
    </row>
    <row r="83" spans="19:26" x14ac:dyDescent="0.2">
      <c r="S83" s="338"/>
      <c r="T83" s="338"/>
      <c r="U83" s="338"/>
      <c r="V83" s="338"/>
      <c r="W83" s="338"/>
      <c r="X83" s="338"/>
      <c r="Y83" s="339"/>
      <c r="Z83" s="339"/>
    </row>
    <row r="84" spans="19:26" x14ac:dyDescent="0.2">
      <c r="S84" s="338"/>
      <c r="T84" s="338"/>
      <c r="U84" s="338"/>
      <c r="V84" s="338"/>
      <c r="W84" s="338"/>
      <c r="X84" s="338"/>
      <c r="Y84" s="339"/>
      <c r="Z84" s="339"/>
    </row>
    <row r="85" spans="19:26" ht="15" x14ac:dyDescent="0.2">
      <c r="S85" s="11"/>
      <c r="T85" s="11"/>
      <c r="U85" s="11"/>
      <c r="V85" s="11"/>
      <c r="W85" s="11"/>
      <c r="X85" s="11"/>
      <c r="Y85" s="11"/>
      <c r="Z85" s="11"/>
    </row>
    <row r="86" spans="19:26" ht="15" x14ac:dyDescent="0.2">
      <c r="S86" s="11"/>
      <c r="T86" s="11"/>
      <c r="U86" s="11"/>
      <c r="V86" s="11"/>
      <c r="W86" s="11"/>
      <c r="X86" s="11"/>
      <c r="Y86" s="11"/>
      <c r="Z86" s="11"/>
    </row>
    <row r="87" spans="19:26" x14ac:dyDescent="0.2">
      <c r="S87" s="338"/>
      <c r="T87" s="338"/>
      <c r="U87" s="338"/>
      <c r="V87" s="338"/>
      <c r="W87" s="338"/>
      <c r="X87" s="338"/>
      <c r="Y87" s="339"/>
      <c r="Z87" s="339"/>
    </row>
    <row r="88" spans="19:26" x14ac:dyDescent="0.2">
      <c r="S88" s="338"/>
      <c r="T88" s="338"/>
      <c r="U88" s="338"/>
      <c r="V88" s="338"/>
      <c r="W88" s="338"/>
      <c r="X88" s="338"/>
      <c r="Y88" s="339"/>
      <c r="Z88" s="339"/>
    </row>
    <row r="89" spans="19:26" x14ac:dyDescent="0.2">
      <c r="S89" s="340"/>
      <c r="T89" s="340"/>
      <c r="U89" s="340"/>
      <c r="V89" s="340"/>
      <c r="W89" s="340"/>
      <c r="X89" s="340"/>
      <c r="Y89" s="339"/>
      <c r="Z89" s="339"/>
    </row>
    <row r="90" spans="19:26" x14ac:dyDescent="0.2">
      <c r="S90" s="340"/>
      <c r="T90" s="340"/>
      <c r="U90" s="340"/>
      <c r="V90" s="340"/>
      <c r="W90" s="340"/>
      <c r="X90" s="340"/>
      <c r="Y90" s="339"/>
      <c r="Z90" s="339"/>
    </row>
    <row r="91" spans="19:26" x14ac:dyDescent="0.2">
      <c r="S91" s="338"/>
      <c r="T91" s="338"/>
      <c r="U91" s="338"/>
      <c r="V91" s="338"/>
      <c r="W91" s="338"/>
      <c r="X91" s="338"/>
      <c r="Y91" s="339"/>
      <c r="Z91" s="339"/>
    </row>
    <row r="92" spans="19:26" x14ac:dyDescent="0.2">
      <c r="S92" s="338"/>
      <c r="T92" s="338"/>
      <c r="U92" s="338"/>
      <c r="V92" s="338"/>
      <c r="W92" s="338"/>
      <c r="X92" s="338"/>
      <c r="Y92" s="339"/>
      <c r="Z92" s="339"/>
    </row>
    <row r="93" spans="19:26" x14ac:dyDescent="0.2">
      <c r="S93" s="338"/>
      <c r="T93" s="338"/>
      <c r="U93" s="338"/>
      <c r="V93" s="338"/>
      <c r="W93" s="338"/>
      <c r="X93" s="338"/>
      <c r="Y93" s="339"/>
      <c r="Z93" s="339"/>
    </row>
    <row r="94" spans="19:26" x14ac:dyDescent="0.2">
      <c r="S94" s="338"/>
      <c r="T94" s="338"/>
      <c r="U94" s="338"/>
      <c r="V94" s="338"/>
      <c r="W94" s="338"/>
      <c r="X94" s="338"/>
      <c r="Y94" s="339"/>
      <c r="Z94" s="339"/>
    </row>
    <row r="95" spans="19:26" ht="15" x14ac:dyDescent="0.2">
      <c r="S95" s="11"/>
      <c r="T95" s="11"/>
      <c r="U95" s="11"/>
      <c r="V95" s="11"/>
      <c r="W95" s="11"/>
      <c r="X95" s="11"/>
      <c r="Y95" s="11"/>
      <c r="Z95" s="11"/>
    </row>
    <row r="96" spans="19:26" ht="15" x14ac:dyDescent="0.2">
      <c r="S96" s="11"/>
      <c r="T96" s="11"/>
      <c r="U96" s="11"/>
      <c r="V96" s="11"/>
      <c r="W96" s="11"/>
      <c r="X96" s="11"/>
      <c r="Y96" s="11"/>
      <c r="Z96" s="11"/>
    </row>
    <row r="97" spans="19:26" x14ac:dyDescent="0.2">
      <c r="S97" s="338"/>
      <c r="T97" s="338"/>
      <c r="U97" s="338"/>
      <c r="V97" s="338"/>
      <c r="W97" s="338"/>
      <c r="X97" s="338"/>
      <c r="Y97" s="339"/>
      <c r="Z97" s="339"/>
    </row>
    <row r="98" spans="19:26" x14ac:dyDescent="0.2">
      <c r="S98" s="338"/>
      <c r="T98" s="338"/>
      <c r="U98" s="338"/>
      <c r="V98" s="338"/>
      <c r="W98" s="338"/>
      <c r="X98" s="338"/>
      <c r="Y98" s="339"/>
      <c r="Z98" s="339"/>
    </row>
  </sheetData>
  <mergeCells count="156">
    <mergeCell ref="A2:F2"/>
    <mergeCell ref="K2:P2"/>
    <mergeCell ref="Q2:R2"/>
    <mergeCell ref="S2:X2"/>
    <mergeCell ref="Y2:Z2"/>
    <mergeCell ref="G2:J2"/>
    <mergeCell ref="A3:J4"/>
    <mergeCell ref="AY2:BD2"/>
    <mergeCell ref="BE2:BF2"/>
    <mergeCell ref="K3:R4"/>
    <mergeCell ref="S3:Z4"/>
    <mergeCell ref="AA3:AH4"/>
    <mergeCell ref="AI3:AP4"/>
    <mergeCell ref="AQ3:AX4"/>
    <mergeCell ref="AY3:BF4"/>
    <mergeCell ref="AA2:AF2"/>
    <mergeCell ref="AG2:AH2"/>
    <mergeCell ref="AI2:AN2"/>
    <mergeCell ref="AO2:AP2"/>
    <mergeCell ref="AQ2:AV2"/>
    <mergeCell ref="AW2:AX2"/>
    <mergeCell ref="U5:W6"/>
    <mergeCell ref="X5:Y6"/>
    <mergeCell ref="Z5:Z6"/>
    <mergeCell ref="A5:B6"/>
    <mergeCell ref="C5:E6"/>
    <mergeCell ref="K5:L6"/>
    <mergeCell ref="M5:O6"/>
    <mergeCell ref="F5:H6"/>
    <mergeCell ref="I5:J6"/>
    <mergeCell ref="AY5:AZ6"/>
    <mergeCell ref="BA5:BC6"/>
    <mergeCell ref="BD5:BE6"/>
    <mergeCell ref="BF5:BF6"/>
    <mergeCell ref="K7:O7"/>
    <mergeCell ref="P7:Q7"/>
    <mergeCell ref="S7:W7"/>
    <mergeCell ref="X7:Y7"/>
    <mergeCell ref="AA7:AE7"/>
    <mergeCell ref="AN5:AO6"/>
    <mergeCell ref="AP5:AP6"/>
    <mergeCell ref="AQ5:AR6"/>
    <mergeCell ref="AS5:AU6"/>
    <mergeCell ref="AV5:AW6"/>
    <mergeCell ref="AX5:AX6"/>
    <mergeCell ref="AA5:AB6"/>
    <mergeCell ref="AC5:AE6"/>
    <mergeCell ref="AF5:AG6"/>
    <mergeCell ref="AH5:AH6"/>
    <mergeCell ref="AI5:AJ6"/>
    <mergeCell ref="AK5:AM6"/>
    <mergeCell ref="P5:Q6"/>
    <mergeCell ref="R5:R6"/>
    <mergeCell ref="S5:T6"/>
    <mergeCell ref="A28:B28"/>
    <mergeCell ref="BD7:BE7"/>
    <mergeCell ref="AF7:AG7"/>
    <mergeCell ref="AI7:AM7"/>
    <mergeCell ref="AN7:AO7"/>
    <mergeCell ref="AQ7:AU7"/>
    <mergeCell ref="AV7:AW7"/>
    <mergeCell ref="AY7:BC7"/>
    <mergeCell ref="A7:B7"/>
    <mergeCell ref="H7:J7"/>
    <mergeCell ref="B9:C9"/>
    <mergeCell ref="D9:E9"/>
    <mergeCell ref="F9:G9"/>
    <mergeCell ref="H9:I9"/>
    <mergeCell ref="B22:F22"/>
    <mergeCell ref="H22:I22"/>
    <mergeCell ref="B23:F23"/>
    <mergeCell ref="H23:I23"/>
    <mergeCell ref="B24:F24"/>
    <mergeCell ref="H24:I24"/>
    <mergeCell ref="B25:F25"/>
    <mergeCell ref="H25:I25"/>
    <mergeCell ref="B26:F26"/>
    <mergeCell ref="H26:I26"/>
    <mergeCell ref="F54:G54"/>
    <mergeCell ref="A50:B50"/>
    <mergeCell ref="F30:I30"/>
    <mergeCell ref="B31:C31"/>
    <mergeCell ref="F31:I31"/>
    <mergeCell ref="B32:C32"/>
    <mergeCell ref="F32:I32"/>
    <mergeCell ref="B33:C33"/>
    <mergeCell ref="F33:I33"/>
    <mergeCell ref="B34:C34"/>
    <mergeCell ref="F34:I34"/>
    <mergeCell ref="B35:C35"/>
    <mergeCell ref="F35:I35"/>
    <mergeCell ref="B36:C36"/>
    <mergeCell ref="F36:I36"/>
    <mergeCell ref="B37:C37"/>
    <mergeCell ref="F37:I37"/>
    <mergeCell ref="A40:B40"/>
    <mergeCell ref="A41:C41"/>
    <mergeCell ref="A42:C42"/>
    <mergeCell ref="A47:B47"/>
    <mergeCell ref="A48:B48"/>
    <mergeCell ref="A49:B49"/>
    <mergeCell ref="S65:W65"/>
    <mergeCell ref="S66:W66"/>
    <mergeCell ref="Y67:Y70"/>
    <mergeCell ref="Z67:Z70"/>
    <mergeCell ref="S68:W68"/>
    <mergeCell ref="S70:W70"/>
    <mergeCell ref="S61:W61"/>
    <mergeCell ref="S62:W62"/>
    <mergeCell ref="S63:W63"/>
    <mergeCell ref="S64:W64"/>
    <mergeCell ref="S75:X76"/>
    <mergeCell ref="Y75:Y76"/>
    <mergeCell ref="Z75:Z76"/>
    <mergeCell ref="S77:X78"/>
    <mergeCell ref="Y77:Y78"/>
    <mergeCell ref="Z77:Z78"/>
    <mergeCell ref="S71:X72"/>
    <mergeCell ref="Y71:Y72"/>
    <mergeCell ref="Z71:Z72"/>
    <mergeCell ref="S73:X74"/>
    <mergeCell ref="Y73:Y74"/>
    <mergeCell ref="Z73:Z74"/>
    <mergeCell ref="S83:X84"/>
    <mergeCell ref="Y83:Y84"/>
    <mergeCell ref="Z83:Z84"/>
    <mergeCell ref="S87:X88"/>
    <mergeCell ref="Y87:Y88"/>
    <mergeCell ref="Z87:Z88"/>
    <mergeCell ref="S79:X80"/>
    <mergeCell ref="Y79:Y80"/>
    <mergeCell ref="Z79:Z80"/>
    <mergeCell ref="S81:X82"/>
    <mergeCell ref="Y81:Y82"/>
    <mergeCell ref="Z81:Z82"/>
    <mergeCell ref="S93:X94"/>
    <mergeCell ref="Y93:Y94"/>
    <mergeCell ref="Z93:Z94"/>
    <mergeCell ref="S97:X98"/>
    <mergeCell ref="Y97:Y98"/>
    <mergeCell ref="Z97:Z98"/>
    <mergeCell ref="S89:X90"/>
    <mergeCell ref="Y89:Y90"/>
    <mergeCell ref="Z89:Z90"/>
    <mergeCell ref="S91:X92"/>
    <mergeCell ref="Y91:Y92"/>
    <mergeCell ref="Z91:Z92"/>
    <mergeCell ref="B10:C10"/>
    <mergeCell ref="D10:E10"/>
    <mergeCell ref="F10:G10"/>
    <mergeCell ref="H10:I10"/>
    <mergeCell ref="E14:F14"/>
    <mergeCell ref="B20:F20"/>
    <mergeCell ref="H20:I20"/>
    <mergeCell ref="B21:F21"/>
    <mergeCell ref="H21:I21"/>
  </mergeCells>
  <printOptions horizontalCentered="1"/>
  <pageMargins left="0.27559055118110237" right="0.27559055118110237" top="0.27559055118110237" bottom="0" header="0.27559055118110237" footer="0"/>
  <pageSetup paperSize="9" scale="86" fitToWidth="2" orientation="portrait" r:id="rId1"/>
  <headerFooter alignWithMargins="0"/>
  <colBreaks count="3" manualBreakCount="3">
    <brk id="10" max="54" man="1"/>
    <brk id="18" min="1" max="54" man="1"/>
    <brk id="34" min="1" max="54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64DC-B6E8-468D-91BA-39A891CC73DE}">
  <dimension ref="A1:L58"/>
  <sheetViews>
    <sheetView view="pageBreakPreview" zoomScaleNormal="100" zoomScaleSheetLayoutView="100" workbookViewId="0">
      <selection activeCell="F4" sqref="F4"/>
    </sheetView>
  </sheetViews>
  <sheetFormatPr baseColWidth="10" defaultRowHeight="12.75" x14ac:dyDescent="0.2"/>
  <cols>
    <col min="1" max="1" width="21.5703125" customWidth="1"/>
    <col min="2" max="2" width="17.85546875" customWidth="1"/>
    <col min="3" max="3" width="5" customWidth="1"/>
    <col min="4" max="4" width="19.5703125" customWidth="1"/>
    <col min="5" max="5" width="16.7109375" customWidth="1"/>
    <col min="6" max="6" width="34.7109375" customWidth="1"/>
    <col min="7" max="7" width="25.5703125" customWidth="1"/>
    <col min="8" max="8" width="17" customWidth="1"/>
    <col min="9" max="9" width="5.7109375" customWidth="1"/>
    <col min="10" max="10" width="19.7109375" customWidth="1"/>
    <col min="11" max="11" width="16" customWidth="1"/>
    <col min="12" max="12" width="34.140625" customWidth="1"/>
  </cols>
  <sheetData>
    <row r="1" spans="1:12" s="1" customFormat="1" ht="18.75" customHeight="1" x14ac:dyDescent="0.25">
      <c r="A1" s="34" t="s">
        <v>22</v>
      </c>
      <c r="B1" s="473" t="s">
        <v>32</v>
      </c>
      <c r="C1" s="474"/>
      <c r="D1" s="475" t="str">
        <f>'CROQUIS '!G2</f>
        <v>Fabricant : EV FASHION</v>
      </c>
      <c r="E1" s="475"/>
      <c r="F1" s="35" t="s">
        <v>186</v>
      </c>
      <c r="G1" s="34" t="s">
        <v>22</v>
      </c>
      <c r="H1" s="473" t="s">
        <v>32</v>
      </c>
      <c r="I1" s="474"/>
      <c r="J1" s="475" t="str">
        <f>D1</f>
        <v>Fabricant : EV FASHION</v>
      </c>
      <c r="K1" s="475"/>
      <c r="L1" s="35" t="str">
        <f>F1</f>
        <v>Updated : 23/02/2026</v>
      </c>
    </row>
    <row r="2" spans="1:12" ht="34.15" customHeight="1" thickBot="1" x14ac:dyDescent="0.25">
      <c r="A2" s="476" t="s">
        <v>23</v>
      </c>
      <c r="B2" s="477"/>
      <c r="C2" s="477"/>
      <c r="D2" s="477"/>
      <c r="E2" s="477"/>
      <c r="F2" s="478"/>
      <c r="G2" s="476" t="s">
        <v>23</v>
      </c>
      <c r="H2" s="477"/>
      <c r="I2" s="477"/>
      <c r="J2" s="477"/>
      <c r="K2" s="477"/>
      <c r="L2" s="478"/>
    </row>
    <row r="3" spans="1:12" s="3" customFormat="1" ht="37.5" customHeight="1" thickBot="1" x14ac:dyDescent="0.25">
      <c r="A3" s="29" t="str">
        <f>'CROQUIS '!E5</f>
        <v>Thème :  1EVA32</v>
      </c>
      <c r="B3" s="462" t="str">
        <f>'CROQUIS '!G5</f>
        <v>Modèle : V09413 BELL</v>
      </c>
      <c r="C3" s="463"/>
      <c r="D3" s="464"/>
      <c r="E3" s="30" t="str">
        <f>'CROQUIS '!C5</f>
        <v>Saison : 26H</v>
      </c>
      <c r="F3" s="31" t="s">
        <v>189</v>
      </c>
      <c r="G3" s="29" t="str">
        <f>A3</f>
        <v>Thème :  1EVA32</v>
      </c>
      <c r="H3" s="462" t="str">
        <f>B3</f>
        <v>Modèle : V09413 BELL</v>
      </c>
      <c r="I3" s="463"/>
      <c r="J3" s="464"/>
      <c r="K3" s="30" t="str">
        <f>E3</f>
        <v>Saison : 26H</v>
      </c>
      <c r="L3" s="31" t="str">
        <f>F3</f>
        <v>Modéliste : RECONDUIT</v>
      </c>
    </row>
    <row r="4" spans="1:12" s="3" customFormat="1" ht="19.149999999999999" customHeight="1" x14ac:dyDescent="0.2">
      <c r="A4" s="32" t="s">
        <v>54</v>
      </c>
      <c r="B4" s="28" t="s">
        <v>56</v>
      </c>
      <c r="C4" s="116" t="s">
        <v>169</v>
      </c>
      <c r="D4" s="465" t="s">
        <v>55</v>
      </c>
      <c r="E4" s="465"/>
      <c r="F4" s="37" t="s">
        <v>74</v>
      </c>
      <c r="G4" s="32" t="s">
        <v>54</v>
      </c>
      <c r="H4" s="28" t="s">
        <v>56</v>
      </c>
      <c r="I4" s="116"/>
      <c r="J4" s="465" t="s">
        <v>55</v>
      </c>
      <c r="K4" s="465"/>
      <c r="L4" s="37" t="s">
        <v>74</v>
      </c>
    </row>
    <row r="5" spans="1:12" s="3" customFormat="1" ht="19.149999999999999" customHeight="1" thickBot="1" x14ac:dyDescent="0.25">
      <c r="A5" s="33" t="s">
        <v>53</v>
      </c>
      <c r="B5" s="140" t="s">
        <v>57</v>
      </c>
      <c r="C5" s="117"/>
      <c r="D5" s="466"/>
      <c r="E5" s="466"/>
      <c r="F5" s="36" t="s">
        <v>75</v>
      </c>
      <c r="G5" s="33" t="s">
        <v>53</v>
      </c>
      <c r="H5" s="140" t="s">
        <v>57</v>
      </c>
      <c r="I5" s="117"/>
      <c r="J5" s="466"/>
      <c r="K5" s="466"/>
      <c r="L5" s="36" t="s">
        <v>75</v>
      </c>
    </row>
    <row r="6" spans="1:12" ht="45.75" customHeight="1" x14ac:dyDescent="0.2">
      <c r="A6" s="467" t="s">
        <v>170</v>
      </c>
      <c r="B6" s="468"/>
      <c r="C6" s="468"/>
      <c r="D6" s="468"/>
      <c r="E6" s="468"/>
      <c r="F6" s="469"/>
      <c r="G6" s="467"/>
      <c r="H6" s="468"/>
      <c r="I6" s="468"/>
      <c r="J6" s="468"/>
      <c r="K6" s="468"/>
      <c r="L6" s="469"/>
    </row>
    <row r="7" spans="1:12" ht="31.15" customHeight="1" x14ac:dyDescent="0.2">
      <c r="A7" s="467"/>
      <c r="B7" s="468"/>
      <c r="C7" s="468"/>
      <c r="D7" s="468"/>
      <c r="E7" s="468"/>
      <c r="F7" s="469"/>
      <c r="G7" s="467"/>
      <c r="H7" s="468"/>
      <c r="I7" s="468"/>
      <c r="J7" s="468"/>
      <c r="K7" s="468"/>
      <c r="L7" s="469"/>
    </row>
    <row r="8" spans="1:12" ht="15" customHeight="1" x14ac:dyDescent="0.2">
      <c r="A8" s="467"/>
      <c r="B8" s="468"/>
      <c r="C8" s="468"/>
      <c r="D8" s="468"/>
      <c r="E8" s="468"/>
      <c r="F8" s="469"/>
      <c r="G8" s="467"/>
      <c r="H8" s="468"/>
      <c r="I8" s="468"/>
      <c r="J8" s="468"/>
      <c r="K8" s="468"/>
      <c r="L8" s="469"/>
    </row>
    <row r="9" spans="1:12" ht="15" customHeight="1" x14ac:dyDescent="0.2">
      <c r="A9" s="467"/>
      <c r="B9" s="468"/>
      <c r="C9" s="468"/>
      <c r="D9" s="468"/>
      <c r="E9" s="468"/>
      <c r="F9" s="469"/>
      <c r="G9" s="467"/>
      <c r="H9" s="468"/>
      <c r="I9" s="468"/>
      <c r="J9" s="468"/>
      <c r="K9" s="468"/>
      <c r="L9" s="469"/>
    </row>
    <row r="10" spans="1:12" s="2" customFormat="1" ht="15" customHeight="1" x14ac:dyDescent="0.2">
      <c r="A10" s="467"/>
      <c r="B10" s="468"/>
      <c r="C10" s="468"/>
      <c r="D10" s="468"/>
      <c r="E10" s="468"/>
      <c r="F10" s="469"/>
      <c r="G10" s="467"/>
      <c r="H10" s="468"/>
      <c r="I10" s="468"/>
      <c r="J10" s="468"/>
      <c r="K10" s="468"/>
      <c r="L10" s="469"/>
    </row>
    <row r="11" spans="1:12" s="2" customFormat="1" ht="15" customHeight="1" x14ac:dyDescent="0.2">
      <c r="A11" s="467"/>
      <c r="B11" s="468"/>
      <c r="C11" s="468"/>
      <c r="D11" s="468"/>
      <c r="E11" s="468"/>
      <c r="F11" s="469"/>
      <c r="G11" s="467"/>
      <c r="H11" s="468"/>
      <c r="I11" s="468"/>
      <c r="J11" s="468"/>
      <c r="K11" s="468"/>
      <c r="L11" s="469"/>
    </row>
    <row r="12" spans="1:12" s="2" customFormat="1" ht="15" customHeight="1" x14ac:dyDescent="0.2">
      <c r="A12" s="467"/>
      <c r="B12" s="468"/>
      <c r="C12" s="468"/>
      <c r="D12" s="468"/>
      <c r="E12" s="468"/>
      <c r="F12" s="469"/>
      <c r="G12" s="467"/>
      <c r="H12" s="468"/>
      <c r="I12" s="468"/>
      <c r="J12" s="468"/>
      <c r="K12" s="468"/>
      <c r="L12" s="469"/>
    </row>
    <row r="13" spans="1:12" s="2" customFormat="1" ht="15" customHeight="1" x14ac:dyDescent="0.2">
      <c r="A13" s="467"/>
      <c r="B13" s="468"/>
      <c r="C13" s="468"/>
      <c r="D13" s="468"/>
      <c r="E13" s="468"/>
      <c r="F13" s="469"/>
      <c r="G13" s="467"/>
      <c r="H13" s="468"/>
      <c r="I13" s="468"/>
      <c r="J13" s="468"/>
      <c r="K13" s="468"/>
      <c r="L13" s="469"/>
    </row>
    <row r="14" spans="1:12" s="2" customFormat="1" ht="15" customHeight="1" x14ac:dyDescent="0.2">
      <c r="A14" s="467"/>
      <c r="B14" s="468"/>
      <c r="C14" s="468"/>
      <c r="D14" s="468"/>
      <c r="E14" s="468"/>
      <c r="F14" s="469"/>
      <c r="G14" s="467"/>
      <c r="H14" s="468"/>
      <c r="I14" s="468"/>
      <c r="J14" s="468"/>
      <c r="K14" s="468"/>
      <c r="L14" s="469"/>
    </row>
    <row r="15" spans="1:12" s="2" customFormat="1" ht="15" customHeight="1" x14ac:dyDescent="0.2">
      <c r="A15" s="467"/>
      <c r="B15" s="468"/>
      <c r="C15" s="468"/>
      <c r="D15" s="468"/>
      <c r="E15" s="468"/>
      <c r="F15" s="469"/>
      <c r="G15" s="467"/>
      <c r="H15" s="468"/>
      <c r="I15" s="468"/>
      <c r="J15" s="468"/>
      <c r="K15" s="468"/>
      <c r="L15" s="469"/>
    </row>
    <row r="16" spans="1:12" s="2" customFormat="1" ht="15" customHeight="1" x14ac:dyDescent="0.2">
      <c r="A16" s="467"/>
      <c r="B16" s="468"/>
      <c r="C16" s="468"/>
      <c r="D16" s="468"/>
      <c r="E16" s="468"/>
      <c r="F16" s="469"/>
      <c r="G16" s="467"/>
      <c r="H16" s="468"/>
      <c r="I16" s="468"/>
      <c r="J16" s="468"/>
      <c r="K16" s="468"/>
      <c r="L16" s="469"/>
    </row>
    <row r="17" spans="1:12" s="2" customFormat="1" ht="15" customHeight="1" x14ac:dyDescent="0.2">
      <c r="A17" s="467"/>
      <c r="B17" s="468"/>
      <c r="C17" s="468"/>
      <c r="D17" s="468"/>
      <c r="E17" s="468"/>
      <c r="F17" s="469"/>
      <c r="G17" s="467"/>
      <c r="H17" s="468"/>
      <c r="I17" s="468"/>
      <c r="J17" s="468"/>
      <c r="K17" s="468"/>
      <c r="L17" s="469"/>
    </row>
    <row r="18" spans="1:12" s="2" customFormat="1" ht="15" customHeight="1" x14ac:dyDescent="0.2">
      <c r="A18" s="467"/>
      <c r="B18" s="468"/>
      <c r="C18" s="468"/>
      <c r="D18" s="468"/>
      <c r="E18" s="468"/>
      <c r="F18" s="469"/>
      <c r="G18" s="467"/>
      <c r="H18" s="468"/>
      <c r="I18" s="468"/>
      <c r="J18" s="468"/>
      <c r="K18" s="468"/>
      <c r="L18" s="469"/>
    </row>
    <row r="19" spans="1:12" s="2" customFormat="1" ht="15" customHeight="1" x14ac:dyDescent="0.2">
      <c r="A19" s="467"/>
      <c r="B19" s="468"/>
      <c r="C19" s="468"/>
      <c r="D19" s="468"/>
      <c r="E19" s="468"/>
      <c r="F19" s="469"/>
      <c r="G19" s="467"/>
      <c r="H19" s="468"/>
      <c r="I19" s="468"/>
      <c r="J19" s="468"/>
      <c r="K19" s="468"/>
      <c r="L19" s="469"/>
    </row>
    <row r="20" spans="1:12" ht="15" customHeight="1" x14ac:dyDescent="0.2">
      <c r="A20" s="467"/>
      <c r="B20" s="468"/>
      <c r="C20" s="468"/>
      <c r="D20" s="468"/>
      <c r="E20" s="468"/>
      <c r="F20" s="469"/>
      <c r="G20" s="467"/>
      <c r="H20" s="468"/>
      <c r="I20" s="468"/>
      <c r="J20" s="468"/>
      <c r="K20" s="468"/>
      <c r="L20" s="469"/>
    </row>
    <row r="21" spans="1:12" s="3" customFormat="1" ht="15" customHeight="1" x14ac:dyDescent="0.2">
      <c r="A21" s="467"/>
      <c r="B21" s="468"/>
      <c r="C21" s="468"/>
      <c r="D21" s="468"/>
      <c r="E21" s="468"/>
      <c r="F21" s="469"/>
      <c r="G21" s="467"/>
      <c r="H21" s="468"/>
      <c r="I21" s="468"/>
      <c r="J21" s="468"/>
      <c r="K21" s="468"/>
      <c r="L21" s="469"/>
    </row>
    <row r="22" spans="1:12" s="3" customFormat="1" ht="15" customHeight="1" x14ac:dyDescent="0.2">
      <c r="A22" s="467"/>
      <c r="B22" s="468"/>
      <c r="C22" s="468"/>
      <c r="D22" s="468"/>
      <c r="E22" s="468"/>
      <c r="F22" s="469"/>
      <c r="G22" s="467"/>
      <c r="H22" s="468"/>
      <c r="I22" s="468"/>
      <c r="J22" s="468"/>
      <c r="K22" s="468"/>
      <c r="L22" s="469"/>
    </row>
    <row r="23" spans="1:12" s="3" customFormat="1" ht="15" customHeight="1" x14ac:dyDescent="0.2">
      <c r="A23" s="467"/>
      <c r="B23" s="468"/>
      <c r="C23" s="468"/>
      <c r="D23" s="468"/>
      <c r="E23" s="468"/>
      <c r="F23" s="469"/>
      <c r="G23" s="467"/>
      <c r="H23" s="468"/>
      <c r="I23" s="468"/>
      <c r="J23" s="468"/>
      <c r="K23" s="468"/>
      <c r="L23" s="469"/>
    </row>
    <row r="24" spans="1:12" s="3" customFormat="1" ht="15" customHeight="1" x14ac:dyDescent="0.2">
      <c r="A24" s="467"/>
      <c r="B24" s="468"/>
      <c r="C24" s="468"/>
      <c r="D24" s="468"/>
      <c r="E24" s="468"/>
      <c r="F24" s="469"/>
      <c r="G24" s="467"/>
      <c r="H24" s="468"/>
      <c r="I24" s="468"/>
      <c r="J24" s="468"/>
      <c r="K24" s="468"/>
      <c r="L24" s="469"/>
    </row>
    <row r="25" spans="1:12" s="3" customFormat="1" ht="15" customHeight="1" x14ac:dyDescent="0.2">
      <c r="A25" s="467"/>
      <c r="B25" s="468"/>
      <c r="C25" s="468"/>
      <c r="D25" s="468"/>
      <c r="E25" s="468"/>
      <c r="F25" s="469"/>
      <c r="G25" s="467"/>
      <c r="H25" s="468"/>
      <c r="I25" s="468"/>
      <c r="J25" s="468"/>
      <c r="K25" s="468"/>
      <c r="L25" s="469"/>
    </row>
    <row r="26" spans="1:12" s="3" customFormat="1" ht="15" customHeight="1" x14ac:dyDescent="0.2">
      <c r="A26" s="467"/>
      <c r="B26" s="468"/>
      <c r="C26" s="468"/>
      <c r="D26" s="468"/>
      <c r="E26" s="468"/>
      <c r="F26" s="469"/>
      <c r="G26" s="467"/>
      <c r="H26" s="468"/>
      <c r="I26" s="468"/>
      <c r="J26" s="468"/>
      <c r="K26" s="468"/>
      <c r="L26" s="469"/>
    </row>
    <row r="27" spans="1:12" s="3" customFormat="1" ht="15" customHeight="1" x14ac:dyDescent="0.2">
      <c r="A27" s="467"/>
      <c r="B27" s="468"/>
      <c r="C27" s="468"/>
      <c r="D27" s="468"/>
      <c r="E27" s="468"/>
      <c r="F27" s="469"/>
      <c r="G27" s="467"/>
      <c r="H27" s="468"/>
      <c r="I27" s="468"/>
      <c r="J27" s="468"/>
      <c r="K27" s="468"/>
      <c r="L27" s="469"/>
    </row>
    <row r="28" spans="1:12" s="3" customFormat="1" ht="15" customHeight="1" x14ac:dyDescent="0.2">
      <c r="A28" s="467"/>
      <c r="B28" s="468"/>
      <c r="C28" s="468"/>
      <c r="D28" s="468"/>
      <c r="E28" s="468"/>
      <c r="F28" s="469"/>
      <c r="G28" s="467"/>
      <c r="H28" s="468"/>
      <c r="I28" s="468"/>
      <c r="J28" s="468"/>
      <c r="K28" s="468"/>
      <c r="L28" s="469"/>
    </row>
    <row r="29" spans="1:12" s="3" customFormat="1" ht="15" customHeight="1" x14ac:dyDescent="0.2">
      <c r="A29" s="467"/>
      <c r="B29" s="468"/>
      <c r="C29" s="468"/>
      <c r="D29" s="468"/>
      <c r="E29" s="468"/>
      <c r="F29" s="469"/>
      <c r="G29" s="467"/>
      <c r="H29" s="468"/>
      <c r="I29" s="468"/>
      <c r="J29" s="468"/>
      <c r="K29" s="468"/>
      <c r="L29" s="469"/>
    </row>
    <row r="30" spans="1:12" s="3" customFormat="1" ht="15" customHeight="1" x14ac:dyDescent="0.2">
      <c r="A30" s="467"/>
      <c r="B30" s="468"/>
      <c r="C30" s="468"/>
      <c r="D30" s="468"/>
      <c r="E30" s="468"/>
      <c r="F30" s="469"/>
      <c r="G30" s="467"/>
      <c r="H30" s="468"/>
      <c r="I30" s="468"/>
      <c r="J30" s="468"/>
      <c r="K30" s="468"/>
      <c r="L30" s="469"/>
    </row>
    <row r="31" spans="1:12" s="3" customFormat="1" ht="15" customHeight="1" x14ac:dyDescent="0.2">
      <c r="A31" s="467"/>
      <c r="B31" s="468"/>
      <c r="C31" s="468"/>
      <c r="D31" s="468"/>
      <c r="E31" s="468"/>
      <c r="F31" s="469"/>
      <c r="G31" s="467"/>
      <c r="H31" s="468"/>
      <c r="I31" s="468"/>
      <c r="J31" s="468"/>
      <c r="K31" s="468"/>
      <c r="L31" s="469"/>
    </row>
    <row r="32" spans="1:12" s="3" customFormat="1" ht="15" customHeight="1" x14ac:dyDescent="0.2">
      <c r="A32" s="467"/>
      <c r="B32" s="468"/>
      <c r="C32" s="468"/>
      <c r="D32" s="468"/>
      <c r="E32" s="468"/>
      <c r="F32" s="469"/>
      <c r="G32" s="467"/>
      <c r="H32" s="468"/>
      <c r="I32" s="468"/>
      <c r="J32" s="468"/>
      <c r="K32" s="468"/>
      <c r="L32" s="469"/>
    </row>
    <row r="33" spans="1:12" s="3" customFormat="1" ht="15" customHeight="1" x14ac:dyDescent="0.2">
      <c r="A33" s="467"/>
      <c r="B33" s="468"/>
      <c r="C33" s="468"/>
      <c r="D33" s="468"/>
      <c r="E33" s="468"/>
      <c r="F33" s="469"/>
      <c r="G33" s="467"/>
      <c r="H33" s="468"/>
      <c r="I33" s="468"/>
      <c r="J33" s="468"/>
      <c r="K33" s="468"/>
      <c r="L33" s="469"/>
    </row>
    <row r="34" spans="1:12" s="3" customFormat="1" ht="15" customHeight="1" x14ac:dyDescent="0.2">
      <c r="A34" s="467"/>
      <c r="B34" s="468"/>
      <c r="C34" s="468"/>
      <c r="D34" s="468"/>
      <c r="E34" s="468"/>
      <c r="F34" s="469"/>
      <c r="G34" s="467"/>
      <c r="H34" s="468"/>
      <c r="I34" s="468"/>
      <c r="J34" s="468"/>
      <c r="K34" s="468"/>
      <c r="L34" s="469"/>
    </row>
    <row r="35" spans="1:12" s="3" customFormat="1" ht="15" customHeight="1" x14ac:dyDescent="0.2">
      <c r="A35" s="467"/>
      <c r="B35" s="468"/>
      <c r="C35" s="468"/>
      <c r="D35" s="468"/>
      <c r="E35" s="468"/>
      <c r="F35" s="469"/>
      <c r="G35" s="467"/>
      <c r="H35" s="468"/>
      <c r="I35" s="468"/>
      <c r="J35" s="468"/>
      <c r="K35" s="468"/>
      <c r="L35" s="469"/>
    </row>
    <row r="36" spans="1:12" s="3" customFormat="1" ht="15" customHeight="1" x14ac:dyDescent="0.2">
      <c r="A36" s="467"/>
      <c r="B36" s="468"/>
      <c r="C36" s="468"/>
      <c r="D36" s="468"/>
      <c r="E36" s="468"/>
      <c r="F36" s="469"/>
      <c r="G36" s="467"/>
      <c r="H36" s="468"/>
      <c r="I36" s="468"/>
      <c r="J36" s="468"/>
      <c r="K36" s="468"/>
      <c r="L36" s="469"/>
    </row>
    <row r="37" spans="1:12" s="3" customFormat="1" ht="15" customHeight="1" x14ac:dyDescent="0.2">
      <c r="A37" s="467"/>
      <c r="B37" s="468"/>
      <c r="C37" s="468"/>
      <c r="D37" s="468"/>
      <c r="E37" s="468"/>
      <c r="F37" s="469"/>
      <c r="G37" s="467"/>
      <c r="H37" s="468"/>
      <c r="I37" s="468"/>
      <c r="J37" s="468"/>
      <c r="K37" s="468"/>
      <c r="L37" s="469"/>
    </row>
    <row r="38" spans="1:12" s="3" customFormat="1" ht="15" customHeight="1" x14ac:dyDescent="0.2">
      <c r="A38" s="467"/>
      <c r="B38" s="468"/>
      <c r="C38" s="468"/>
      <c r="D38" s="468"/>
      <c r="E38" s="468"/>
      <c r="F38" s="469"/>
      <c r="G38" s="467"/>
      <c r="H38" s="468"/>
      <c r="I38" s="468"/>
      <c r="J38" s="468"/>
      <c r="K38" s="468"/>
      <c r="L38" s="469"/>
    </row>
    <row r="39" spans="1:12" s="3" customFormat="1" ht="15" customHeight="1" x14ac:dyDescent="0.2">
      <c r="A39" s="467"/>
      <c r="B39" s="468"/>
      <c r="C39" s="468"/>
      <c r="D39" s="468"/>
      <c r="E39" s="468"/>
      <c r="F39" s="469"/>
      <c r="G39" s="467"/>
      <c r="H39" s="468"/>
      <c r="I39" s="468"/>
      <c r="J39" s="468"/>
      <c r="K39" s="468"/>
      <c r="L39" s="469"/>
    </row>
    <row r="40" spans="1:12" ht="15" customHeight="1" x14ac:dyDescent="0.2">
      <c r="A40" s="467"/>
      <c r="B40" s="468"/>
      <c r="C40" s="468"/>
      <c r="D40" s="468"/>
      <c r="E40" s="468"/>
      <c r="F40" s="469"/>
      <c r="G40" s="467"/>
      <c r="H40" s="468"/>
      <c r="I40" s="468"/>
      <c r="J40" s="468"/>
      <c r="K40" s="468"/>
      <c r="L40" s="469"/>
    </row>
    <row r="41" spans="1:12" ht="15" customHeight="1" x14ac:dyDescent="0.2">
      <c r="A41" s="467"/>
      <c r="B41" s="468"/>
      <c r="C41" s="468"/>
      <c r="D41" s="468"/>
      <c r="E41" s="468"/>
      <c r="F41" s="469"/>
      <c r="G41" s="467"/>
      <c r="H41" s="468"/>
      <c r="I41" s="468"/>
      <c r="J41" s="468"/>
      <c r="K41" s="468"/>
      <c r="L41" s="469"/>
    </row>
    <row r="42" spans="1:12" ht="15" customHeight="1" x14ac:dyDescent="0.2">
      <c r="A42" s="467"/>
      <c r="B42" s="468"/>
      <c r="C42" s="468"/>
      <c r="D42" s="468"/>
      <c r="E42" s="468"/>
      <c r="F42" s="469"/>
      <c r="G42" s="467"/>
      <c r="H42" s="468"/>
      <c r="I42" s="468"/>
      <c r="J42" s="468"/>
      <c r="K42" s="468"/>
      <c r="L42" s="469"/>
    </row>
    <row r="43" spans="1:12" ht="15" customHeight="1" x14ac:dyDescent="0.2">
      <c r="A43" s="467"/>
      <c r="B43" s="468"/>
      <c r="C43" s="468"/>
      <c r="D43" s="468"/>
      <c r="E43" s="468"/>
      <c r="F43" s="469"/>
      <c r="G43" s="467"/>
      <c r="H43" s="468"/>
      <c r="I43" s="468"/>
      <c r="J43" s="468"/>
      <c r="K43" s="468"/>
      <c r="L43" s="469"/>
    </row>
    <row r="44" spans="1:12" ht="15" customHeight="1" x14ac:dyDescent="0.2">
      <c r="A44" s="467"/>
      <c r="B44" s="468"/>
      <c r="C44" s="468"/>
      <c r="D44" s="468"/>
      <c r="E44" s="468"/>
      <c r="F44" s="469"/>
      <c r="G44" s="467"/>
      <c r="H44" s="468"/>
      <c r="I44" s="468"/>
      <c r="J44" s="468"/>
      <c r="K44" s="468"/>
      <c r="L44" s="469"/>
    </row>
    <row r="45" spans="1:12" ht="15" customHeight="1" x14ac:dyDescent="0.2">
      <c r="A45" s="467"/>
      <c r="B45" s="468"/>
      <c r="C45" s="468"/>
      <c r="D45" s="468"/>
      <c r="E45" s="468"/>
      <c r="F45" s="469"/>
      <c r="G45" s="467"/>
      <c r="H45" s="468"/>
      <c r="I45" s="468"/>
      <c r="J45" s="468"/>
      <c r="K45" s="468"/>
      <c r="L45" s="469"/>
    </row>
    <row r="46" spans="1:12" ht="15" customHeight="1" x14ac:dyDescent="0.2">
      <c r="A46" s="467"/>
      <c r="B46" s="468"/>
      <c r="C46" s="468"/>
      <c r="D46" s="468"/>
      <c r="E46" s="468"/>
      <c r="F46" s="469"/>
      <c r="G46" s="467"/>
      <c r="H46" s="468"/>
      <c r="I46" s="468"/>
      <c r="J46" s="468"/>
      <c r="K46" s="468"/>
      <c r="L46" s="469"/>
    </row>
    <row r="47" spans="1:12" ht="15" customHeight="1" x14ac:dyDescent="0.2">
      <c r="A47" s="467"/>
      <c r="B47" s="468"/>
      <c r="C47" s="468"/>
      <c r="D47" s="468"/>
      <c r="E47" s="468"/>
      <c r="F47" s="469"/>
      <c r="G47" s="467"/>
      <c r="H47" s="468"/>
      <c r="I47" s="468"/>
      <c r="J47" s="468"/>
      <c r="K47" s="468"/>
      <c r="L47" s="469"/>
    </row>
    <row r="48" spans="1:12" ht="15" customHeight="1" x14ac:dyDescent="0.2">
      <c r="A48" s="467"/>
      <c r="B48" s="468"/>
      <c r="C48" s="468"/>
      <c r="D48" s="468"/>
      <c r="E48" s="468"/>
      <c r="F48" s="469"/>
      <c r="G48" s="467"/>
      <c r="H48" s="468"/>
      <c r="I48" s="468"/>
      <c r="J48" s="468"/>
      <c r="K48" s="468"/>
      <c r="L48" s="469"/>
    </row>
    <row r="49" spans="1:12" ht="15" customHeight="1" x14ac:dyDescent="0.2">
      <c r="A49" s="467"/>
      <c r="B49" s="468"/>
      <c r="C49" s="468"/>
      <c r="D49" s="468"/>
      <c r="E49" s="468"/>
      <c r="F49" s="469"/>
      <c r="G49" s="467"/>
      <c r="H49" s="468"/>
      <c r="I49" s="468"/>
      <c r="J49" s="468"/>
      <c r="K49" s="468"/>
      <c r="L49" s="469"/>
    </row>
    <row r="50" spans="1:12" ht="15" customHeight="1" x14ac:dyDescent="0.2">
      <c r="A50" s="467"/>
      <c r="B50" s="468"/>
      <c r="C50" s="468"/>
      <c r="D50" s="468"/>
      <c r="E50" s="468"/>
      <c r="F50" s="469"/>
      <c r="G50" s="467"/>
      <c r="H50" s="468"/>
      <c r="I50" s="468"/>
      <c r="J50" s="468"/>
      <c r="K50" s="468"/>
      <c r="L50" s="469"/>
    </row>
    <row r="51" spans="1:12" ht="15" customHeight="1" x14ac:dyDescent="0.2">
      <c r="A51" s="467"/>
      <c r="B51" s="468"/>
      <c r="C51" s="468"/>
      <c r="D51" s="468"/>
      <c r="E51" s="468"/>
      <c r="F51" s="469"/>
      <c r="G51" s="467"/>
      <c r="H51" s="468"/>
      <c r="I51" s="468"/>
      <c r="J51" s="468"/>
      <c r="K51" s="468"/>
      <c r="L51" s="469"/>
    </row>
    <row r="52" spans="1:12" ht="17.45" customHeight="1" x14ac:dyDescent="0.2">
      <c r="A52" s="467"/>
      <c r="B52" s="468"/>
      <c r="C52" s="468"/>
      <c r="D52" s="468"/>
      <c r="E52" s="468"/>
      <c r="F52" s="469"/>
      <c r="G52" s="467"/>
      <c r="H52" s="468"/>
      <c r="I52" s="468"/>
      <c r="J52" s="468"/>
      <c r="K52" s="468"/>
      <c r="L52" s="469"/>
    </row>
    <row r="53" spans="1:12" ht="17.45" customHeight="1" x14ac:dyDescent="0.2">
      <c r="A53" s="467"/>
      <c r="B53" s="468"/>
      <c r="C53" s="468"/>
      <c r="D53" s="468"/>
      <c r="E53" s="468"/>
      <c r="F53" s="469"/>
      <c r="G53" s="467"/>
      <c r="H53" s="468"/>
      <c r="I53" s="468"/>
      <c r="J53" s="468"/>
      <c r="K53" s="468"/>
      <c r="L53" s="469"/>
    </row>
    <row r="54" spans="1:12" ht="17.45" customHeight="1" x14ac:dyDescent="0.2">
      <c r="A54" s="467"/>
      <c r="B54" s="468"/>
      <c r="C54" s="468"/>
      <c r="D54" s="468"/>
      <c r="E54" s="468"/>
      <c r="F54" s="469"/>
      <c r="G54" s="467"/>
      <c r="H54" s="468"/>
      <c r="I54" s="468"/>
      <c r="J54" s="468"/>
      <c r="K54" s="468"/>
      <c r="L54" s="469"/>
    </row>
    <row r="55" spans="1:12" ht="17.45" customHeight="1" x14ac:dyDescent="0.2">
      <c r="A55" s="467"/>
      <c r="B55" s="468"/>
      <c r="C55" s="468"/>
      <c r="D55" s="468"/>
      <c r="E55" s="468"/>
      <c r="F55" s="469"/>
      <c r="G55" s="467"/>
      <c r="H55" s="468"/>
      <c r="I55" s="468"/>
      <c r="J55" s="468"/>
      <c r="K55" s="468"/>
      <c r="L55" s="469"/>
    </row>
    <row r="56" spans="1:12" ht="17.45" customHeight="1" x14ac:dyDescent="0.2">
      <c r="A56" s="467"/>
      <c r="B56" s="468"/>
      <c r="C56" s="468"/>
      <c r="D56" s="468"/>
      <c r="E56" s="468"/>
      <c r="F56" s="469"/>
      <c r="G56" s="467"/>
      <c r="H56" s="468"/>
      <c r="I56" s="468"/>
      <c r="J56" s="468"/>
      <c r="K56" s="468"/>
      <c r="L56" s="469"/>
    </row>
    <row r="57" spans="1:12" ht="17.45" customHeight="1" x14ac:dyDescent="0.2">
      <c r="A57" s="467"/>
      <c r="B57" s="468"/>
      <c r="C57" s="468"/>
      <c r="D57" s="468"/>
      <c r="E57" s="468"/>
      <c r="F57" s="469"/>
      <c r="G57" s="467"/>
      <c r="H57" s="468"/>
      <c r="I57" s="468"/>
      <c r="J57" s="468"/>
      <c r="K57" s="468"/>
      <c r="L57" s="469"/>
    </row>
    <row r="58" spans="1:12" ht="17.45" customHeight="1" thickBot="1" x14ac:dyDescent="0.25">
      <c r="A58" s="470"/>
      <c r="B58" s="471"/>
      <c r="C58" s="471"/>
      <c r="D58" s="471"/>
      <c r="E58" s="471"/>
      <c r="F58" s="472"/>
      <c r="G58" s="470"/>
      <c r="H58" s="471"/>
      <c r="I58" s="471"/>
      <c r="J58" s="471"/>
      <c r="K58" s="471"/>
      <c r="L58" s="472"/>
    </row>
  </sheetData>
  <mergeCells count="12">
    <mergeCell ref="B1:C1"/>
    <mergeCell ref="D1:E1"/>
    <mergeCell ref="H1:I1"/>
    <mergeCell ref="J1:K1"/>
    <mergeCell ref="A2:F2"/>
    <mergeCell ref="G2:L2"/>
    <mergeCell ref="B3:D3"/>
    <mergeCell ref="H3:J3"/>
    <mergeCell ref="D4:E5"/>
    <mergeCell ref="J4:K5"/>
    <mergeCell ref="A6:F58"/>
    <mergeCell ref="G6:L58"/>
  </mergeCells>
  <printOptions horizontalCentered="1"/>
  <pageMargins left="0.27559055118110237" right="0.27559055118110237" top="0.27559055118110237" bottom="0" header="0.27559055118110237" footer="0"/>
  <pageSetup paperSize="9" scale="7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1C40-BD1A-4EAF-9540-39D09A1BAA41}">
  <sheetPr>
    <pageSetUpPr fitToPage="1"/>
  </sheetPr>
  <dimension ref="A1:AB59"/>
  <sheetViews>
    <sheetView view="pageBreakPreview" zoomScale="55" zoomScaleNormal="55" zoomScaleSheetLayoutView="55" workbookViewId="0">
      <selection activeCell="A6" sqref="A6:I21"/>
    </sheetView>
  </sheetViews>
  <sheetFormatPr baseColWidth="10" defaultColWidth="11.42578125" defaultRowHeight="12.75" x14ac:dyDescent="0.2"/>
  <cols>
    <col min="1" max="1" width="10.28515625" style="20" customWidth="1"/>
    <col min="2" max="2" width="21.28515625" style="20" customWidth="1"/>
    <col min="3" max="3" width="35.85546875" style="20" customWidth="1"/>
    <col min="4" max="4" width="10.42578125" style="20" customWidth="1"/>
    <col min="5" max="5" width="64.28515625" style="20" customWidth="1"/>
    <col min="6" max="6" width="22.85546875" style="20" customWidth="1"/>
    <col min="7" max="7" width="20.7109375" style="182" customWidth="1"/>
    <col min="8" max="8" width="17" style="182" bestFit="1" customWidth="1"/>
    <col min="9" max="9" width="15.42578125" style="20" bestFit="1" customWidth="1"/>
    <col min="10" max="10" width="10.28515625" style="20" customWidth="1"/>
    <col min="11" max="11" width="23.28515625" style="20" customWidth="1"/>
    <col min="12" max="12" width="30.5703125" style="20" customWidth="1"/>
    <col min="13" max="13" width="10.42578125" style="20" customWidth="1"/>
    <col min="14" max="14" width="29.42578125" style="20" customWidth="1"/>
    <col min="15" max="15" width="8.42578125" style="20" customWidth="1"/>
    <col min="16" max="16" width="10.7109375" style="183" customWidth="1"/>
    <col min="17" max="17" width="10.140625" style="20" customWidth="1"/>
    <col min="18" max="18" width="10.42578125" style="20" customWidth="1"/>
    <col min="19" max="20" width="9.7109375" style="20" customWidth="1"/>
    <col min="21" max="21" width="12.28515625" style="184" customWidth="1"/>
    <col min="22" max="22" width="10" style="182" customWidth="1"/>
    <col min="23" max="23" width="9.7109375" style="182" customWidth="1"/>
    <col min="24" max="24" width="11.140625" style="20" customWidth="1"/>
    <col min="25" max="25" width="10" style="20" hidden="1" customWidth="1"/>
    <col min="26" max="26" width="13" style="20" customWidth="1"/>
    <col min="27" max="27" width="9.7109375" style="20" customWidth="1"/>
    <col min="28" max="16384" width="11.42578125" style="20"/>
  </cols>
  <sheetData>
    <row r="1" spans="1:27" ht="21" customHeight="1" x14ac:dyDescent="0.25">
      <c r="A1" s="326" t="s">
        <v>24</v>
      </c>
      <c r="B1" s="327"/>
      <c r="C1" s="327"/>
      <c r="D1" s="327"/>
      <c r="E1" s="328"/>
      <c r="F1" s="329" t="str">
        <f>'CROQUIS '!$G$2</f>
        <v>Fabricant : EV FASHION</v>
      </c>
      <c r="G1" s="330"/>
      <c r="H1" s="330"/>
      <c r="I1" s="331"/>
      <c r="J1" s="326" t="s">
        <v>24</v>
      </c>
      <c r="K1" s="327"/>
      <c r="L1" s="327"/>
      <c r="M1" s="327"/>
      <c r="N1" s="327"/>
      <c r="O1" s="327"/>
      <c r="P1" s="327"/>
      <c r="Q1" s="327"/>
      <c r="R1" s="327"/>
      <c r="S1" s="328"/>
      <c r="T1" s="329" t="str">
        <f>F1</f>
        <v>Fabricant : EV FASHION</v>
      </c>
      <c r="U1" s="330"/>
      <c r="V1" s="330"/>
      <c r="W1" s="330"/>
      <c r="X1" s="330"/>
      <c r="Y1" s="330"/>
      <c r="Z1" s="331"/>
      <c r="AA1" s="151"/>
    </row>
    <row r="2" spans="1:27" ht="30.75" customHeight="1" x14ac:dyDescent="0.2">
      <c r="A2" s="332" t="s">
        <v>50</v>
      </c>
      <c r="B2" s="333"/>
      <c r="C2" s="333"/>
      <c r="D2" s="333"/>
      <c r="E2" s="333"/>
      <c r="F2" s="333"/>
      <c r="G2" s="333"/>
      <c r="H2" s="333"/>
      <c r="I2" s="334"/>
      <c r="J2" s="332" t="s">
        <v>50</v>
      </c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4"/>
      <c r="AA2" s="152"/>
    </row>
    <row r="3" spans="1:27" ht="12" customHeight="1" x14ac:dyDescent="0.2">
      <c r="A3" s="335"/>
      <c r="B3" s="336"/>
      <c r="C3" s="336"/>
      <c r="D3" s="336"/>
      <c r="E3" s="336"/>
      <c r="F3" s="336"/>
      <c r="G3" s="336"/>
      <c r="H3" s="336"/>
      <c r="I3" s="337"/>
      <c r="J3" s="335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7"/>
      <c r="AA3" s="152"/>
    </row>
    <row r="4" spans="1:27" s="154" customFormat="1" ht="12.75" customHeight="1" x14ac:dyDescent="0.3">
      <c r="A4" s="313" t="str">
        <f>'CROQUIS '!$E$5</f>
        <v>Thème :  1EVA32</v>
      </c>
      <c r="B4" s="314"/>
      <c r="C4" s="317" t="str">
        <f>'CROQUIS '!$G$5</f>
        <v>Modèle : V09413 BELL</v>
      </c>
      <c r="D4" s="285"/>
      <c r="E4" s="286"/>
      <c r="F4" s="285" t="s">
        <v>33</v>
      </c>
      <c r="G4" s="286"/>
      <c r="H4" s="317" t="str">
        <f>'CROQUIS '!$C$5</f>
        <v>Saison : 26H</v>
      </c>
      <c r="I4" s="321"/>
      <c r="J4" s="313" t="str">
        <f>A4</f>
        <v>Thème :  1EVA32</v>
      </c>
      <c r="K4" s="314"/>
      <c r="L4" s="317" t="str">
        <f>C4</f>
        <v>Modèle : V09413 BELL</v>
      </c>
      <c r="M4" s="285"/>
      <c r="N4" s="285"/>
      <c r="O4" s="285"/>
      <c r="P4" s="317" t="str">
        <f>F4</f>
        <v>Collection :  VB</v>
      </c>
      <c r="Q4" s="285"/>
      <c r="R4" s="285"/>
      <c r="S4" s="286"/>
      <c r="T4" s="317" t="str">
        <f>H4</f>
        <v>Saison : 26H</v>
      </c>
      <c r="U4" s="285"/>
      <c r="V4" s="285"/>
      <c r="W4" s="484"/>
      <c r="X4" s="485"/>
      <c r="Y4" s="485"/>
      <c r="Z4" s="486"/>
      <c r="AA4" s="153"/>
    </row>
    <row r="5" spans="1:27" s="154" customFormat="1" ht="19.5" customHeight="1" thickBot="1" x14ac:dyDescent="0.35">
      <c r="A5" s="315"/>
      <c r="B5" s="316"/>
      <c r="C5" s="318"/>
      <c r="D5" s="319"/>
      <c r="E5" s="320"/>
      <c r="F5" s="319"/>
      <c r="G5" s="320"/>
      <c r="H5" s="318"/>
      <c r="I5" s="322"/>
      <c r="J5" s="323"/>
      <c r="K5" s="324"/>
      <c r="L5" s="325"/>
      <c r="M5" s="287"/>
      <c r="N5" s="287"/>
      <c r="O5" s="287"/>
      <c r="P5" s="325"/>
      <c r="Q5" s="287"/>
      <c r="R5" s="287"/>
      <c r="S5" s="288"/>
      <c r="T5" s="325"/>
      <c r="U5" s="287"/>
      <c r="V5" s="287"/>
      <c r="W5" s="487"/>
      <c r="X5" s="488"/>
      <c r="Y5" s="488"/>
      <c r="Z5" s="489"/>
      <c r="AA5" s="153"/>
    </row>
    <row r="6" spans="1:27" ht="29.25" customHeight="1" x14ac:dyDescent="0.25">
      <c r="A6" s="289"/>
      <c r="B6" s="290"/>
      <c r="C6" s="290"/>
      <c r="D6" s="290"/>
      <c r="E6" s="290"/>
      <c r="F6" s="290"/>
      <c r="G6" s="290"/>
      <c r="H6" s="290"/>
      <c r="I6" s="291"/>
      <c r="J6" s="298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300"/>
      <c r="AA6" s="155"/>
    </row>
    <row r="7" spans="1:27" ht="27.75" customHeight="1" x14ac:dyDescent="0.25">
      <c r="A7" s="292"/>
      <c r="B7" s="293"/>
      <c r="C7" s="293"/>
      <c r="D7" s="293"/>
      <c r="E7" s="293"/>
      <c r="F7" s="293"/>
      <c r="G7" s="293"/>
      <c r="H7" s="293"/>
      <c r="I7" s="294"/>
      <c r="J7" s="298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300"/>
      <c r="AA7" s="155"/>
    </row>
    <row r="8" spans="1:27" ht="21" customHeight="1" x14ac:dyDescent="0.25">
      <c r="A8" s="292"/>
      <c r="B8" s="293"/>
      <c r="C8" s="293"/>
      <c r="D8" s="293"/>
      <c r="E8" s="293"/>
      <c r="F8" s="293"/>
      <c r="G8" s="293"/>
      <c r="H8" s="293"/>
      <c r="I8" s="294"/>
      <c r="J8" s="298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300"/>
      <c r="AA8" s="155"/>
    </row>
    <row r="9" spans="1:27" ht="21" customHeight="1" x14ac:dyDescent="0.25">
      <c r="A9" s="292"/>
      <c r="B9" s="293"/>
      <c r="C9" s="293"/>
      <c r="D9" s="293"/>
      <c r="E9" s="293"/>
      <c r="F9" s="293"/>
      <c r="G9" s="293"/>
      <c r="H9" s="293"/>
      <c r="I9" s="294"/>
      <c r="J9" s="298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300"/>
      <c r="AA9" s="155"/>
    </row>
    <row r="10" spans="1:27" ht="44.25" customHeight="1" x14ac:dyDescent="0.25">
      <c r="A10" s="292"/>
      <c r="B10" s="293"/>
      <c r="C10" s="293"/>
      <c r="D10" s="293"/>
      <c r="E10" s="293"/>
      <c r="F10" s="293"/>
      <c r="G10" s="293"/>
      <c r="H10" s="293"/>
      <c r="I10" s="294"/>
      <c r="J10" s="298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300"/>
      <c r="AA10" s="155"/>
    </row>
    <row r="11" spans="1:27" ht="21" customHeight="1" x14ac:dyDescent="0.25">
      <c r="A11" s="292"/>
      <c r="B11" s="293"/>
      <c r="C11" s="293"/>
      <c r="D11" s="293"/>
      <c r="E11" s="293"/>
      <c r="F11" s="293"/>
      <c r="G11" s="293"/>
      <c r="H11" s="293"/>
      <c r="I11" s="294"/>
      <c r="J11" s="298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300"/>
      <c r="AA11" s="155"/>
    </row>
    <row r="12" spans="1:27" ht="21" customHeight="1" x14ac:dyDescent="0.25">
      <c r="A12" s="292"/>
      <c r="B12" s="293"/>
      <c r="C12" s="293"/>
      <c r="D12" s="293"/>
      <c r="E12" s="293"/>
      <c r="F12" s="293"/>
      <c r="G12" s="293"/>
      <c r="H12" s="293"/>
      <c r="I12" s="294"/>
      <c r="J12" s="298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300"/>
      <c r="AA12" s="155"/>
    </row>
    <row r="13" spans="1:27" ht="29.25" customHeight="1" x14ac:dyDescent="0.25">
      <c r="A13" s="292"/>
      <c r="B13" s="293"/>
      <c r="C13" s="293"/>
      <c r="D13" s="293"/>
      <c r="E13" s="293"/>
      <c r="F13" s="293"/>
      <c r="G13" s="293"/>
      <c r="H13" s="293"/>
      <c r="I13" s="294"/>
      <c r="J13" s="298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300"/>
      <c r="AA13" s="155"/>
    </row>
    <row r="14" spans="1:27" ht="21" customHeight="1" x14ac:dyDescent="0.25">
      <c r="A14" s="292"/>
      <c r="B14" s="293"/>
      <c r="C14" s="293"/>
      <c r="D14" s="293"/>
      <c r="E14" s="293"/>
      <c r="F14" s="293"/>
      <c r="G14" s="293"/>
      <c r="H14" s="293"/>
      <c r="I14" s="294"/>
      <c r="J14" s="298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300"/>
      <c r="AA14" s="155"/>
    </row>
    <row r="15" spans="1:27" ht="21" customHeight="1" x14ac:dyDescent="0.25">
      <c r="A15" s="292"/>
      <c r="B15" s="293"/>
      <c r="C15" s="293"/>
      <c r="D15" s="293"/>
      <c r="E15" s="293"/>
      <c r="F15" s="293"/>
      <c r="G15" s="293"/>
      <c r="H15" s="293"/>
      <c r="I15" s="294"/>
      <c r="J15" s="298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300"/>
      <c r="AA15" s="155"/>
    </row>
    <row r="16" spans="1:27" ht="39.75" customHeight="1" x14ac:dyDescent="0.25">
      <c r="A16" s="292"/>
      <c r="B16" s="293"/>
      <c r="C16" s="293"/>
      <c r="D16" s="293"/>
      <c r="E16" s="293"/>
      <c r="F16" s="293"/>
      <c r="G16" s="293"/>
      <c r="H16" s="293"/>
      <c r="I16" s="294"/>
      <c r="J16" s="298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300"/>
      <c r="AA16" s="155"/>
    </row>
    <row r="17" spans="1:28" ht="24" customHeight="1" x14ac:dyDescent="0.25">
      <c r="A17" s="292"/>
      <c r="B17" s="293"/>
      <c r="C17" s="293"/>
      <c r="D17" s="293"/>
      <c r="E17" s="293"/>
      <c r="F17" s="293"/>
      <c r="G17" s="293"/>
      <c r="H17" s="293"/>
      <c r="I17" s="294"/>
      <c r="J17" s="298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300"/>
      <c r="AA17" s="155"/>
    </row>
    <row r="18" spans="1:28" ht="21" customHeight="1" x14ac:dyDescent="0.25">
      <c r="A18" s="292"/>
      <c r="B18" s="293"/>
      <c r="C18" s="293"/>
      <c r="D18" s="293"/>
      <c r="E18" s="293"/>
      <c r="F18" s="293"/>
      <c r="G18" s="293"/>
      <c r="H18" s="293"/>
      <c r="I18" s="294"/>
      <c r="J18" s="298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300"/>
      <c r="AA18" s="155"/>
    </row>
    <row r="19" spans="1:28" ht="21" customHeight="1" x14ac:dyDescent="0.25">
      <c r="A19" s="292"/>
      <c r="B19" s="293"/>
      <c r="C19" s="293"/>
      <c r="D19" s="293"/>
      <c r="E19" s="293"/>
      <c r="F19" s="293"/>
      <c r="G19" s="293"/>
      <c r="H19" s="293"/>
      <c r="I19" s="294"/>
      <c r="J19" s="298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300"/>
      <c r="AA19" s="155"/>
    </row>
    <row r="20" spans="1:28" ht="226.9" customHeight="1" x14ac:dyDescent="0.25">
      <c r="A20" s="292"/>
      <c r="B20" s="293"/>
      <c r="C20" s="293"/>
      <c r="D20" s="293"/>
      <c r="E20" s="293"/>
      <c r="F20" s="293"/>
      <c r="G20" s="293"/>
      <c r="H20" s="293"/>
      <c r="I20" s="294"/>
      <c r="J20" s="298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300"/>
      <c r="AA20" s="155"/>
    </row>
    <row r="21" spans="1:28" ht="207" customHeight="1" thickBot="1" x14ac:dyDescent="0.25">
      <c r="A21" s="295"/>
      <c r="B21" s="296"/>
      <c r="C21" s="296"/>
      <c r="D21" s="296"/>
      <c r="E21" s="296"/>
      <c r="F21" s="296"/>
      <c r="G21" s="296"/>
      <c r="H21" s="296"/>
      <c r="I21" s="297"/>
      <c r="J21" s="301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3"/>
      <c r="AA21" s="156"/>
    </row>
    <row r="22" spans="1:28" ht="112.5" customHeight="1" x14ac:dyDescent="0.2">
      <c r="A22" s="157" t="s">
        <v>3</v>
      </c>
      <c r="B22" s="310" t="s">
        <v>1</v>
      </c>
      <c r="C22" s="311"/>
      <c r="D22" s="311"/>
      <c r="E22" s="312"/>
      <c r="F22" s="159" t="s">
        <v>58</v>
      </c>
      <c r="G22" s="160" t="s">
        <v>59</v>
      </c>
      <c r="H22" s="161" t="s">
        <v>51</v>
      </c>
      <c r="I22" s="162" t="s">
        <v>26</v>
      </c>
      <c r="J22" s="157" t="s">
        <v>3</v>
      </c>
      <c r="K22" s="310" t="s">
        <v>1</v>
      </c>
      <c r="L22" s="311"/>
      <c r="M22" s="311"/>
      <c r="N22" s="312"/>
      <c r="O22" s="163" t="s">
        <v>26</v>
      </c>
      <c r="P22" s="161">
        <v>34</v>
      </c>
      <c r="Q22" s="164">
        <v>36</v>
      </c>
      <c r="R22" s="165" t="s">
        <v>60</v>
      </c>
      <c r="S22" s="166" t="s">
        <v>52</v>
      </c>
      <c r="T22" s="161">
        <v>38</v>
      </c>
      <c r="U22" s="161">
        <v>40</v>
      </c>
      <c r="V22" s="165" t="s">
        <v>60</v>
      </c>
      <c r="W22" s="166" t="s">
        <v>52</v>
      </c>
      <c r="X22" s="167">
        <v>42</v>
      </c>
      <c r="Y22" s="158">
        <v>44</v>
      </c>
      <c r="Z22" s="168" t="s">
        <v>28</v>
      </c>
      <c r="AA22" s="169"/>
      <c r="AB22" s="170"/>
    </row>
    <row r="23" spans="1:28" s="21" customFormat="1" ht="45" customHeight="1" x14ac:dyDescent="0.35">
      <c r="A23" s="171" t="str">
        <f>'Prise Mesures '!A7</f>
        <v>A</v>
      </c>
      <c r="B23" s="479" t="str">
        <f>'Prise Mesures '!B7</f>
        <v>1/2 tour de poitrine (sous emmanchure) / 1/2 chest width (below armhole)</v>
      </c>
      <c r="C23" s="479"/>
      <c r="D23" s="479"/>
      <c r="E23" s="479"/>
      <c r="F23" s="25"/>
      <c r="G23" s="24"/>
      <c r="H23" s="24" t="str">
        <f t="shared" ref="H23:H42" si="0">IF(ISBLANK(G23),"",G23-F23)</f>
        <v/>
      </c>
      <c r="I23" s="26">
        <f>'[2]Prise Mesures '!C7</f>
        <v>0.5</v>
      </c>
      <c r="J23" s="171" t="str">
        <f>A23</f>
        <v>A</v>
      </c>
      <c r="K23" s="479" t="str">
        <f>B23</f>
        <v>1/2 tour de poitrine (sous emmanchure) / 1/2 chest width (below armhole)</v>
      </c>
      <c r="L23" s="479"/>
      <c r="M23" s="479"/>
      <c r="N23" s="479"/>
      <c r="O23" s="172">
        <f t="shared" ref="O23:O42" si="1">I23</f>
        <v>0.5</v>
      </c>
      <c r="P23" s="173">
        <f t="shared" ref="P23:P42" si="2">Q23-Z23</f>
        <v>-2</v>
      </c>
      <c r="Q23" s="174">
        <f>$F23</f>
        <v>0</v>
      </c>
      <c r="R23" s="175"/>
      <c r="S23" s="175" t="str">
        <f>IF(ISBLANK($R23),"",($R23-$Q23))</f>
        <v/>
      </c>
      <c r="T23" s="176">
        <f t="shared" ref="T23:T42" si="3">$Q23+$Z23</f>
        <v>2</v>
      </c>
      <c r="U23" s="176">
        <f t="shared" ref="U23:U42" si="4">$T23+$Z23</f>
        <v>4</v>
      </c>
      <c r="V23" s="175"/>
      <c r="W23" s="175" t="str">
        <f>IF(ISBLANK($V23),"",($V23-$U23))</f>
        <v/>
      </c>
      <c r="X23" s="176">
        <f t="shared" ref="X23:X42" si="5">$U23+$Z23</f>
        <v>6</v>
      </c>
      <c r="Y23" s="176">
        <f>$X23+$Z23</f>
        <v>8</v>
      </c>
      <c r="Z23" s="177">
        <v>2</v>
      </c>
      <c r="AA23" s="27"/>
      <c r="AB23" s="22"/>
    </row>
    <row r="24" spans="1:28" s="21" customFormat="1" ht="45" customHeight="1" x14ac:dyDescent="0.35">
      <c r="A24" s="171" t="str">
        <f>'Prise Mesures '!A8</f>
        <v>B</v>
      </c>
      <c r="B24" s="479" t="str">
        <f>'Prise Mesures '!B8</f>
        <v>1/2 tour de bas de vêtement droit / 1/2 bottom width straight</v>
      </c>
      <c r="C24" s="479"/>
      <c r="D24" s="479"/>
      <c r="E24" s="479"/>
      <c r="F24" s="25"/>
      <c r="G24" s="24"/>
      <c r="H24" s="24" t="str">
        <f t="shared" si="0"/>
        <v/>
      </c>
      <c r="I24" s="26">
        <f>'[2]Prise Mesures '!C8</f>
        <v>0.5</v>
      </c>
      <c r="J24" s="171" t="str">
        <f t="shared" ref="J24:J42" si="6">A24</f>
        <v>B</v>
      </c>
      <c r="K24" s="479" t="str">
        <f t="shared" ref="K24:K42" si="7">B24</f>
        <v>1/2 tour de bas de vêtement droit / 1/2 bottom width straight</v>
      </c>
      <c r="L24" s="479"/>
      <c r="M24" s="479"/>
      <c r="N24" s="479"/>
      <c r="O24" s="172">
        <f t="shared" si="1"/>
        <v>0.5</v>
      </c>
      <c r="P24" s="173">
        <f t="shared" si="2"/>
        <v>-2</v>
      </c>
      <c r="Q24" s="174">
        <f>$F24</f>
        <v>0</v>
      </c>
      <c r="R24" s="175"/>
      <c r="S24" s="175" t="str">
        <f>IF(ISBLANK($R24),"",($R24-$Q24))</f>
        <v/>
      </c>
      <c r="T24" s="176">
        <f t="shared" si="3"/>
        <v>2</v>
      </c>
      <c r="U24" s="176">
        <f t="shared" si="4"/>
        <v>4</v>
      </c>
      <c r="V24" s="175"/>
      <c r="W24" s="175" t="str">
        <f>IF(ISBLANK($V24),"",($V24-$U24))</f>
        <v/>
      </c>
      <c r="X24" s="176">
        <f t="shared" si="5"/>
        <v>6</v>
      </c>
      <c r="Y24" s="176">
        <f>$X24+$Z24</f>
        <v>8</v>
      </c>
      <c r="Z24" s="177">
        <v>2</v>
      </c>
      <c r="AA24" s="27"/>
      <c r="AB24" s="22"/>
    </row>
    <row r="25" spans="1:28" s="21" customFormat="1" ht="45" customHeight="1" x14ac:dyDescent="0.35">
      <c r="A25" s="171" t="str">
        <f>'Prise Mesures '!A9</f>
        <v>C</v>
      </c>
      <c r="B25" s="479" t="str">
        <f>'Prise Mesures '!B9</f>
        <v>1/2 encolure dos / 1/2 back neckline</v>
      </c>
      <c r="C25" s="479"/>
      <c r="D25" s="479"/>
      <c r="E25" s="479"/>
      <c r="F25" s="25"/>
      <c r="G25" s="24"/>
      <c r="H25" s="24" t="str">
        <f t="shared" si="0"/>
        <v/>
      </c>
      <c r="I25" s="26">
        <f>'[2]Prise Mesures '!C9</f>
        <v>0.2</v>
      </c>
      <c r="J25" s="171" t="str">
        <f t="shared" si="6"/>
        <v>C</v>
      </c>
      <c r="K25" s="479" t="str">
        <f t="shared" si="7"/>
        <v>1/2 encolure dos / 1/2 back neckline</v>
      </c>
      <c r="L25" s="479"/>
      <c r="M25" s="479"/>
      <c r="N25" s="479"/>
      <c r="O25" s="172">
        <f t="shared" si="1"/>
        <v>0.2</v>
      </c>
      <c r="P25" s="173">
        <f t="shared" si="2"/>
        <v>-0.25</v>
      </c>
      <c r="Q25" s="174">
        <f t="shared" ref="Q25:Q42" si="8">$F25</f>
        <v>0</v>
      </c>
      <c r="R25" s="175"/>
      <c r="S25" s="175" t="str">
        <f t="shared" ref="S25:S42" si="9">IF(ISBLANK($R25),"",($R25-$Q25))</f>
        <v/>
      </c>
      <c r="T25" s="176">
        <f t="shared" si="3"/>
        <v>0.25</v>
      </c>
      <c r="U25" s="176">
        <f t="shared" si="4"/>
        <v>0.5</v>
      </c>
      <c r="V25" s="175"/>
      <c r="W25" s="175" t="str">
        <f t="shared" ref="W25:W42" si="10">IF(ISBLANK($V25),"",($V25-$U25))</f>
        <v/>
      </c>
      <c r="X25" s="176">
        <f t="shared" si="5"/>
        <v>0.75</v>
      </c>
      <c r="Y25" s="176">
        <f t="shared" ref="Y25:Y42" si="11">$X25+$Z25</f>
        <v>1</v>
      </c>
      <c r="Z25" s="177">
        <v>0.25</v>
      </c>
      <c r="AA25" s="27"/>
      <c r="AB25" s="22"/>
    </row>
    <row r="26" spans="1:28" s="21" customFormat="1" ht="45" customHeight="1" x14ac:dyDescent="0.35">
      <c r="A26" s="171" t="str">
        <f>'Prise Mesures '!A10</f>
        <v>D</v>
      </c>
      <c r="B26" s="479" t="str">
        <f>'Prise Mesures '!B10</f>
        <v>1/2 encolure devant jusqu'au bord / 1/2 front neckline to the edge</v>
      </c>
      <c r="C26" s="479"/>
      <c r="D26" s="479"/>
      <c r="E26" s="479"/>
      <c r="F26" s="25"/>
      <c r="G26" s="24"/>
      <c r="H26" s="24" t="str">
        <f t="shared" si="0"/>
        <v/>
      </c>
      <c r="I26" s="26">
        <f>'[2]Prise Mesures '!C10</f>
        <v>0.2</v>
      </c>
      <c r="J26" s="171" t="str">
        <f t="shared" si="6"/>
        <v>D</v>
      </c>
      <c r="K26" s="479" t="str">
        <f t="shared" si="7"/>
        <v>1/2 encolure devant jusqu'au bord / 1/2 front neckline to the edge</v>
      </c>
      <c r="L26" s="479"/>
      <c r="M26" s="479"/>
      <c r="N26" s="479"/>
      <c r="O26" s="172">
        <f t="shared" si="1"/>
        <v>0.2</v>
      </c>
      <c r="P26" s="173">
        <f t="shared" si="2"/>
        <v>-0.35</v>
      </c>
      <c r="Q26" s="174">
        <f t="shared" si="8"/>
        <v>0</v>
      </c>
      <c r="R26" s="175"/>
      <c r="S26" s="175" t="str">
        <f t="shared" si="9"/>
        <v/>
      </c>
      <c r="T26" s="176">
        <f t="shared" si="3"/>
        <v>0.35</v>
      </c>
      <c r="U26" s="176">
        <f t="shared" si="4"/>
        <v>0.7</v>
      </c>
      <c r="V26" s="175"/>
      <c r="W26" s="175" t="str">
        <f t="shared" si="10"/>
        <v/>
      </c>
      <c r="X26" s="176">
        <f t="shared" si="5"/>
        <v>1.0499999999999998</v>
      </c>
      <c r="Y26" s="176">
        <f t="shared" si="11"/>
        <v>1.4</v>
      </c>
      <c r="Z26" s="177">
        <v>0.35</v>
      </c>
      <c r="AA26" s="23"/>
      <c r="AB26" s="22"/>
    </row>
    <row r="27" spans="1:28" s="180" customFormat="1" ht="45" customHeight="1" x14ac:dyDescent="0.35">
      <c r="A27" s="171" t="str">
        <f>'Prise Mesures '!A11</f>
        <v>D1</v>
      </c>
      <c r="B27" s="479" t="str">
        <f>'Prise Mesures '!B11</f>
        <v>Encolure sur la manche raglan / Neckline on the raglan sleeve</v>
      </c>
      <c r="C27" s="479"/>
      <c r="D27" s="479"/>
      <c r="E27" s="479"/>
      <c r="F27" s="25"/>
      <c r="G27" s="24"/>
      <c r="H27" s="24" t="str">
        <f t="shared" si="0"/>
        <v/>
      </c>
      <c r="I27" s="26">
        <f>'[2]Prise Mesures '!C11</f>
        <v>0</v>
      </c>
      <c r="J27" s="171" t="str">
        <f t="shared" si="6"/>
        <v>D1</v>
      </c>
      <c r="K27" s="479" t="str">
        <f t="shared" si="7"/>
        <v>Encolure sur la manche raglan / Neckline on the raglan sleeve</v>
      </c>
      <c r="L27" s="479"/>
      <c r="M27" s="479"/>
      <c r="N27" s="479"/>
      <c r="O27" s="172">
        <f t="shared" si="1"/>
        <v>0</v>
      </c>
      <c r="P27" s="173"/>
      <c r="Q27" s="174">
        <f t="shared" si="8"/>
        <v>0</v>
      </c>
      <c r="R27" s="175"/>
      <c r="S27" s="175" t="str">
        <f t="shared" si="9"/>
        <v/>
      </c>
      <c r="T27" s="176"/>
      <c r="U27" s="176"/>
      <c r="V27" s="175"/>
      <c r="W27" s="175"/>
      <c r="X27" s="176"/>
      <c r="Y27" s="176" t="e">
        <f t="shared" si="11"/>
        <v>#VALUE!</v>
      </c>
      <c r="Z27" s="177" t="s">
        <v>167</v>
      </c>
      <c r="AA27" s="27"/>
      <c r="AB27" s="179"/>
    </row>
    <row r="28" spans="1:28" s="21" customFormat="1" ht="45" customHeight="1" x14ac:dyDescent="0.35">
      <c r="A28" s="171" t="str">
        <f>'Prise Mesures '!A12</f>
        <v>E</v>
      </c>
      <c r="B28" s="479" t="str">
        <f>'Prise Mesures '!B12</f>
        <v>Carrure dos (12 cm de l'encolure milieu dos) / Back cross-front (12 cm from middle back neckline)</v>
      </c>
      <c r="C28" s="479"/>
      <c r="D28" s="479"/>
      <c r="E28" s="479"/>
      <c r="F28" s="25"/>
      <c r="G28" s="24"/>
      <c r="H28" s="24" t="str">
        <f t="shared" si="0"/>
        <v/>
      </c>
      <c r="I28" s="26">
        <f>'[2]Prise Mesures '!C12</f>
        <v>0.5</v>
      </c>
      <c r="J28" s="171" t="str">
        <f t="shared" si="6"/>
        <v>E</v>
      </c>
      <c r="K28" s="479" t="str">
        <f t="shared" si="7"/>
        <v>Carrure dos (12 cm de l'encolure milieu dos) / Back cross-front (12 cm from middle back neckline)</v>
      </c>
      <c r="L28" s="479"/>
      <c r="M28" s="479"/>
      <c r="N28" s="479"/>
      <c r="O28" s="172">
        <f t="shared" si="1"/>
        <v>0.5</v>
      </c>
      <c r="P28" s="173">
        <f t="shared" ref="P28:P29" si="12">Q28-Z28</f>
        <v>-1</v>
      </c>
      <c r="Q28" s="174">
        <f t="shared" si="8"/>
        <v>0</v>
      </c>
      <c r="R28" s="175"/>
      <c r="S28" s="175" t="str">
        <f t="shared" si="9"/>
        <v/>
      </c>
      <c r="T28" s="176">
        <f t="shared" si="3"/>
        <v>1</v>
      </c>
      <c r="U28" s="176">
        <f t="shared" si="4"/>
        <v>2</v>
      </c>
      <c r="V28" s="175"/>
      <c r="W28" s="175" t="str">
        <f t="shared" si="10"/>
        <v/>
      </c>
      <c r="X28" s="176">
        <f t="shared" si="5"/>
        <v>3</v>
      </c>
      <c r="Y28" s="176">
        <f t="shared" si="11"/>
        <v>4</v>
      </c>
      <c r="Z28" s="177">
        <v>1</v>
      </c>
      <c r="AA28" s="27"/>
      <c r="AB28" s="22"/>
    </row>
    <row r="29" spans="1:28" s="21" customFormat="1" ht="45" customHeight="1" x14ac:dyDescent="0.35">
      <c r="A29" s="171" t="str">
        <f>'Prise Mesures '!A13</f>
        <v>F</v>
      </c>
      <c r="B29" s="479" t="str">
        <f>'Prise Mesures '!B13</f>
        <v>Carrure devant (13cm de la pointe encolure) / Front cross-front (13 cm from neck point)</v>
      </c>
      <c r="C29" s="479"/>
      <c r="D29" s="479"/>
      <c r="E29" s="479"/>
      <c r="F29" s="25"/>
      <c r="G29" s="24"/>
      <c r="H29" s="24" t="str">
        <f t="shared" si="0"/>
        <v/>
      </c>
      <c r="I29" s="26" t="str">
        <f>'[2]Prise Mesures '!C13</f>
        <v>0,5</v>
      </c>
      <c r="J29" s="171" t="str">
        <f t="shared" si="6"/>
        <v>F</v>
      </c>
      <c r="K29" s="479" t="str">
        <f t="shared" si="7"/>
        <v>Carrure devant (13cm de la pointe encolure) / Front cross-front (13 cm from neck point)</v>
      </c>
      <c r="L29" s="479"/>
      <c r="M29" s="479"/>
      <c r="N29" s="479"/>
      <c r="O29" s="172" t="str">
        <f t="shared" si="1"/>
        <v>0,5</v>
      </c>
      <c r="P29" s="173">
        <f t="shared" si="12"/>
        <v>-1</v>
      </c>
      <c r="Q29" s="174">
        <f t="shared" si="8"/>
        <v>0</v>
      </c>
      <c r="R29" s="175"/>
      <c r="S29" s="175" t="str">
        <f t="shared" si="9"/>
        <v/>
      </c>
      <c r="T29" s="176">
        <f t="shared" si="3"/>
        <v>1</v>
      </c>
      <c r="U29" s="176">
        <f t="shared" si="4"/>
        <v>2</v>
      </c>
      <c r="V29" s="175"/>
      <c r="W29" s="175" t="str">
        <f t="shared" si="10"/>
        <v/>
      </c>
      <c r="X29" s="176">
        <f t="shared" si="5"/>
        <v>3</v>
      </c>
      <c r="Y29" s="176">
        <f t="shared" si="11"/>
        <v>4</v>
      </c>
      <c r="Z29" s="177">
        <v>1</v>
      </c>
      <c r="AA29" s="27"/>
      <c r="AB29" s="22"/>
    </row>
    <row r="30" spans="1:28" s="21" customFormat="1" ht="45" customHeight="1" x14ac:dyDescent="0.35">
      <c r="A30" s="171" t="str">
        <f>'Prise Mesures '!A14</f>
        <v>G</v>
      </c>
      <c r="B30" s="479" t="str">
        <f>'Prise Mesures '!B14</f>
        <v>Carrure épaule à épaule / Shoulder to shoulder cross-front</v>
      </c>
      <c r="C30" s="479"/>
      <c r="D30" s="479"/>
      <c r="E30" s="479"/>
      <c r="F30" s="25"/>
      <c r="G30" s="24"/>
      <c r="H30" s="24" t="str">
        <f t="shared" si="0"/>
        <v/>
      </c>
      <c r="I30" s="26">
        <f>'[2]Prise Mesures '!C14</f>
        <v>0.5</v>
      </c>
      <c r="J30" s="171" t="str">
        <f t="shared" si="6"/>
        <v>G</v>
      </c>
      <c r="K30" s="479" t="str">
        <f t="shared" si="7"/>
        <v>Carrure épaule à épaule / Shoulder to shoulder cross-front</v>
      </c>
      <c r="L30" s="479"/>
      <c r="M30" s="479"/>
      <c r="N30" s="479"/>
      <c r="O30" s="172">
        <f t="shared" si="1"/>
        <v>0.5</v>
      </c>
      <c r="P30" s="173">
        <f t="shared" si="2"/>
        <v>-1</v>
      </c>
      <c r="Q30" s="174">
        <f t="shared" si="8"/>
        <v>0</v>
      </c>
      <c r="R30" s="175"/>
      <c r="S30" s="175" t="str">
        <f t="shared" si="9"/>
        <v/>
      </c>
      <c r="T30" s="176">
        <f t="shared" si="3"/>
        <v>1</v>
      </c>
      <c r="U30" s="176">
        <f t="shared" si="4"/>
        <v>2</v>
      </c>
      <c r="V30" s="175"/>
      <c r="W30" s="175" t="str">
        <f t="shared" si="10"/>
        <v/>
      </c>
      <c r="X30" s="176">
        <f t="shared" si="5"/>
        <v>3</v>
      </c>
      <c r="Y30" s="176">
        <f t="shared" si="11"/>
        <v>4</v>
      </c>
      <c r="Z30" s="177">
        <v>1</v>
      </c>
      <c r="AA30" s="27"/>
      <c r="AB30" s="22"/>
    </row>
    <row r="31" spans="1:28" s="21" customFormat="1" ht="45" customHeight="1" x14ac:dyDescent="0.35">
      <c r="A31" s="171" t="str">
        <f>'Prise Mesures '!A15</f>
        <v>H</v>
      </c>
      <c r="B31" s="479" t="str">
        <f>'Prise Mesures '!B15</f>
        <v>Longueur épaule / Shoulder length</v>
      </c>
      <c r="C31" s="479"/>
      <c r="D31" s="479"/>
      <c r="E31" s="479"/>
      <c r="F31" s="25"/>
      <c r="G31" s="24"/>
      <c r="H31" s="24" t="str">
        <f t="shared" si="0"/>
        <v/>
      </c>
      <c r="I31" s="26">
        <f>'[2]Prise Mesures '!C15</f>
        <v>0.2</v>
      </c>
      <c r="J31" s="171" t="str">
        <f t="shared" si="6"/>
        <v>H</v>
      </c>
      <c r="K31" s="479" t="str">
        <f t="shared" si="7"/>
        <v>Longueur épaule / Shoulder length</v>
      </c>
      <c r="L31" s="479"/>
      <c r="M31" s="479"/>
      <c r="N31" s="479"/>
      <c r="O31" s="172">
        <f t="shared" si="1"/>
        <v>0.2</v>
      </c>
      <c r="P31" s="173">
        <f t="shared" si="2"/>
        <v>-0.25</v>
      </c>
      <c r="Q31" s="174">
        <f t="shared" si="8"/>
        <v>0</v>
      </c>
      <c r="R31" s="175"/>
      <c r="S31" s="175" t="str">
        <f t="shared" si="9"/>
        <v/>
      </c>
      <c r="T31" s="176">
        <f t="shared" si="3"/>
        <v>0.25</v>
      </c>
      <c r="U31" s="176">
        <f t="shared" si="4"/>
        <v>0.5</v>
      </c>
      <c r="V31" s="175"/>
      <c r="W31" s="175" t="str">
        <f t="shared" si="10"/>
        <v/>
      </c>
      <c r="X31" s="176">
        <f t="shared" si="5"/>
        <v>0.75</v>
      </c>
      <c r="Y31" s="176">
        <f t="shared" si="11"/>
        <v>1</v>
      </c>
      <c r="Z31" s="177">
        <v>0.25</v>
      </c>
      <c r="AA31" s="23"/>
      <c r="AB31" s="22"/>
    </row>
    <row r="32" spans="1:28" s="21" customFormat="1" ht="45" customHeight="1" x14ac:dyDescent="0.35">
      <c r="A32" s="171" t="str">
        <f>'Prise Mesures '!A16</f>
        <v>I</v>
      </c>
      <c r="B32" s="479" t="str">
        <f>'Prise Mesures '!B16</f>
        <v>Longueur manche sans le poignet / Sleeve length without cuff</v>
      </c>
      <c r="C32" s="479"/>
      <c r="D32" s="479"/>
      <c r="E32" s="479"/>
      <c r="F32" s="25"/>
      <c r="G32" s="24"/>
      <c r="H32" s="24" t="str">
        <f t="shared" si="0"/>
        <v/>
      </c>
      <c r="I32" s="26">
        <f>'[2]Prise Mesures '!C16</f>
        <v>0.5</v>
      </c>
      <c r="J32" s="171" t="str">
        <f t="shared" si="6"/>
        <v>I</v>
      </c>
      <c r="K32" s="479" t="str">
        <f t="shared" si="7"/>
        <v>Longueur manche sans le poignet / Sleeve length without cuff</v>
      </c>
      <c r="L32" s="479"/>
      <c r="M32" s="479"/>
      <c r="N32" s="479"/>
      <c r="O32" s="172">
        <f t="shared" si="1"/>
        <v>0.5</v>
      </c>
      <c r="P32" s="173">
        <f t="shared" si="2"/>
        <v>-0.5</v>
      </c>
      <c r="Q32" s="174">
        <f t="shared" si="8"/>
        <v>0</v>
      </c>
      <c r="R32" s="175"/>
      <c r="S32" s="175" t="str">
        <f t="shared" si="9"/>
        <v/>
      </c>
      <c r="T32" s="176">
        <f t="shared" si="3"/>
        <v>0.5</v>
      </c>
      <c r="U32" s="176">
        <f t="shared" si="4"/>
        <v>1</v>
      </c>
      <c r="V32" s="175"/>
      <c r="W32" s="175" t="str">
        <f t="shared" si="10"/>
        <v/>
      </c>
      <c r="X32" s="176">
        <f t="shared" si="5"/>
        <v>1.5</v>
      </c>
      <c r="Y32" s="176">
        <f t="shared" si="11"/>
        <v>2</v>
      </c>
      <c r="Z32" s="177">
        <v>0.5</v>
      </c>
      <c r="AA32" s="27"/>
      <c r="AB32" s="22"/>
    </row>
    <row r="33" spans="1:28" s="21" customFormat="1" ht="45" customHeight="1" x14ac:dyDescent="0.35">
      <c r="A33" s="171" t="str">
        <f>'Prise Mesures '!A17</f>
        <v>J</v>
      </c>
      <c r="B33" s="479" t="str">
        <f>'Prise Mesures '!B17</f>
        <v>Longueur emmanchure devant / Front armhole length</v>
      </c>
      <c r="C33" s="479"/>
      <c r="D33" s="479"/>
      <c r="E33" s="479"/>
      <c r="F33" s="25"/>
      <c r="G33" s="24"/>
      <c r="H33" s="24" t="str">
        <f t="shared" si="0"/>
        <v/>
      </c>
      <c r="I33" s="26">
        <f>'[2]Prise Mesures '!C17</f>
        <v>0.2</v>
      </c>
      <c r="J33" s="171" t="str">
        <f t="shared" si="6"/>
        <v>J</v>
      </c>
      <c r="K33" s="479" t="str">
        <f t="shared" si="7"/>
        <v>Longueur emmanchure devant / Front armhole length</v>
      </c>
      <c r="L33" s="479"/>
      <c r="M33" s="479"/>
      <c r="N33" s="479"/>
      <c r="O33" s="172">
        <f t="shared" si="1"/>
        <v>0.2</v>
      </c>
      <c r="P33" s="173">
        <f t="shared" si="2"/>
        <v>-0.8</v>
      </c>
      <c r="Q33" s="174">
        <f t="shared" si="8"/>
        <v>0</v>
      </c>
      <c r="R33" s="175"/>
      <c r="S33" s="175" t="str">
        <f t="shared" si="9"/>
        <v/>
      </c>
      <c r="T33" s="176">
        <f t="shared" si="3"/>
        <v>0.8</v>
      </c>
      <c r="U33" s="176">
        <f t="shared" si="4"/>
        <v>1.6</v>
      </c>
      <c r="V33" s="175"/>
      <c r="W33" s="175" t="str">
        <f t="shared" si="10"/>
        <v/>
      </c>
      <c r="X33" s="176">
        <f t="shared" si="5"/>
        <v>2.4000000000000004</v>
      </c>
      <c r="Y33" s="176">
        <f t="shared" si="11"/>
        <v>3.2</v>
      </c>
      <c r="Z33" s="177">
        <v>0.8</v>
      </c>
      <c r="AA33" s="27"/>
      <c r="AB33" s="22"/>
    </row>
    <row r="34" spans="1:28" s="21" customFormat="1" ht="45" customHeight="1" x14ac:dyDescent="0.35">
      <c r="A34" s="171" t="str">
        <f>'Prise Mesures '!A18</f>
        <v>K</v>
      </c>
      <c r="B34" s="479" t="str">
        <f>'Prise Mesures '!B18</f>
        <v>Longueur emmanchure dos / Back armhole length</v>
      </c>
      <c r="C34" s="479"/>
      <c r="D34" s="479"/>
      <c r="E34" s="479"/>
      <c r="F34" s="25"/>
      <c r="G34" s="24"/>
      <c r="H34" s="24" t="str">
        <f t="shared" si="0"/>
        <v/>
      </c>
      <c r="I34" s="26">
        <f>'[2]Prise Mesures '!C18</f>
        <v>0.2</v>
      </c>
      <c r="J34" s="171" t="str">
        <f t="shared" si="6"/>
        <v>K</v>
      </c>
      <c r="K34" s="479" t="str">
        <f t="shared" si="7"/>
        <v>Longueur emmanchure dos / Back armhole length</v>
      </c>
      <c r="L34" s="479"/>
      <c r="M34" s="479"/>
      <c r="N34" s="479"/>
      <c r="O34" s="172">
        <f t="shared" si="1"/>
        <v>0.2</v>
      </c>
      <c r="P34" s="173">
        <f t="shared" si="2"/>
        <v>-0.8</v>
      </c>
      <c r="Q34" s="174">
        <f t="shared" si="8"/>
        <v>0</v>
      </c>
      <c r="R34" s="175"/>
      <c r="S34" s="175" t="str">
        <f t="shared" si="9"/>
        <v/>
      </c>
      <c r="T34" s="176">
        <f t="shared" si="3"/>
        <v>0.8</v>
      </c>
      <c r="U34" s="176">
        <f t="shared" si="4"/>
        <v>1.6</v>
      </c>
      <c r="V34" s="175"/>
      <c r="W34" s="175" t="str">
        <f t="shared" si="10"/>
        <v/>
      </c>
      <c r="X34" s="176">
        <f t="shared" si="5"/>
        <v>2.4000000000000004</v>
      </c>
      <c r="Y34" s="176">
        <f t="shared" si="11"/>
        <v>3.2</v>
      </c>
      <c r="Z34" s="177">
        <v>0.8</v>
      </c>
      <c r="AA34" s="27"/>
      <c r="AB34" s="22"/>
    </row>
    <row r="35" spans="1:28" s="21" customFormat="1" ht="45" customHeight="1" x14ac:dyDescent="0.35">
      <c r="A35" s="171" t="str">
        <f>'Prise Mesures '!A19</f>
        <v>L</v>
      </c>
      <c r="B35" s="479" t="str">
        <f>'Prise Mesures '!B19</f>
        <v xml:space="preserve">1/2 largeur bras / 1/2 arm width </v>
      </c>
      <c r="C35" s="479"/>
      <c r="D35" s="479"/>
      <c r="E35" s="479"/>
      <c r="F35" s="25"/>
      <c r="G35" s="24"/>
      <c r="H35" s="24" t="str">
        <f t="shared" si="0"/>
        <v/>
      </c>
      <c r="I35" s="26">
        <f>'[2]Prise Mesures '!C19</f>
        <v>0.5</v>
      </c>
      <c r="J35" s="171" t="str">
        <f t="shared" si="6"/>
        <v>L</v>
      </c>
      <c r="K35" s="479" t="str">
        <f t="shared" si="7"/>
        <v xml:space="preserve">1/2 largeur bras / 1/2 arm width </v>
      </c>
      <c r="L35" s="479"/>
      <c r="M35" s="479"/>
      <c r="N35" s="479"/>
      <c r="O35" s="172">
        <f t="shared" si="1"/>
        <v>0.5</v>
      </c>
      <c r="P35" s="173">
        <f t="shared" si="2"/>
        <v>-0.6</v>
      </c>
      <c r="Q35" s="174">
        <f t="shared" si="8"/>
        <v>0</v>
      </c>
      <c r="R35" s="175"/>
      <c r="S35" s="175" t="str">
        <f t="shared" si="9"/>
        <v/>
      </c>
      <c r="T35" s="176">
        <f t="shared" si="3"/>
        <v>0.6</v>
      </c>
      <c r="U35" s="176">
        <f t="shared" si="4"/>
        <v>1.2</v>
      </c>
      <c r="V35" s="175"/>
      <c r="W35" s="175" t="str">
        <f t="shared" si="10"/>
        <v/>
      </c>
      <c r="X35" s="176">
        <f t="shared" si="5"/>
        <v>1.7999999999999998</v>
      </c>
      <c r="Y35" s="176">
        <f t="shared" si="11"/>
        <v>2.4</v>
      </c>
      <c r="Z35" s="177">
        <v>0.6</v>
      </c>
      <c r="AA35" s="27"/>
      <c r="AB35" s="22"/>
    </row>
    <row r="36" spans="1:28" s="21" customFormat="1" ht="45" customHeight="1" x14ac:dyDescent="0.35">
      <c r="A36" s="171" t="str">
        <f>'Prise Mesures '!A20</f>
        <v>M</v>
      </c>
      <c r="B36" s="479" t="str">
        <f>'Prise Mesures '!B20</f>
        <v xml:space="preserve">1/2 bas de manche / 1/2 bottom sleeve width </v>
      </c>
      <c r="C36" s="479"/>
      <c r="D36" s="479"/>
      <c r="E36" s="479"/>
      <c r="F36" s="25"/>
      <c r="G36" s="24"/>
      <c r="H36" s="24" t="str">
        <f t="shared" si="0"/>
        <v/>
      </c>
      <c r="I36" s="26">
        <f>'[2]Prise Mesures '!C20</f>
        <v>0.5</v>
      </c>
      <c r="J36" s="171" t="str">
        <f t="shared" si="6"/>
        <v>M</v>
      </c>
      <c r="K36" s="479" t="str">
        <f t="shared" si="7"/>
        <v xml:space="preserve">1/2 bas de manche / 1/2 bottom sleeve width </v>
      </c>
      <c r="L36" s="479"/>
      <c r="M36" s="479"/>
      <c r="N36" s="479"/>
      <c r="O36" s="172">
        <f t="shared" si="1"/>
        <v>0.5</v>
      </c>
      <c r="P36" s="173">
        <f t="shared" si="2"/>
        <v>-0.25</v>
      </c>
      <c r="Q36" s="174">
        <f t="shared" si="8"/>
        <v>0</v>
      </c>
      <c r="R36" s="175"/>
      <c r="S36" s="175" t="str">
        <f t="shared" si="9"/>
        <v/>
      </c>
      <c r="T36" s="176">
        <f t="shared" si="3"/>
        <v>0.25</v>
      </c>
      <c r="U36" s="176">
        <f t="shared" si="4"/>
        <v>0.5</v>
      </c>
      <c r="V36" s="175"/>
      <c r="W36" s="175" t="str">
        <f t="shared" si="10"/>
        <v/>
      </c>
      <c r="X36" s="176">
        <f t="shared" si="5"/>
        <v>0.75</v>
      </c>
      <c r="Y36" s="176">
        <f t="shared" si="11"/>
        <v>1</v>
      </c>
      <c r="Z36" s="177">
        <v>0.25</v>
      </c>
      <c r="AA36" s="27"/>
      <c r="AB36" s="22"/>
    </row>
    <row r="37" spans="1:28" s="21" customFormat="1" ht="45" customHeight="1" x14ac:dyDescent="0.35">
      <c r="A37" s="171" t="str">
        <f>'Prise Mesures '!A21</f>
        <v>N</v>
      </c>
      <c r="B37" s="479" t="str">
        <f>'Prise Mesures '!B21</f>
        <v>Hauteur poignet / Cuff height</v>
      </c>
      <c r="C37" s="479"/>
      <c r="D37" s="479"/>
      <c r="E37" s="479"/>
      <c r="F37" s="25"/>
      <c r="G37" s="24"/>
      <c r="H37" s="24" t="str">
        <f t="shared" si="0"/>
        <v/>
      </c>
      <c r="I37" s="26">
        <f>'[2]Prise Mesures '!C21</f>
        <v>0</v>
      </c>
      <c r="J37" s="171" t="str">
        <f t="shared" si="6"/>
        <v>N</v>
      </c>
      <c r="K37" s="479" t="str">
        <f t="shared" si="7"/>
        <v>Hauteur poignet / Cuff height</v>
      </c>
      <c r="L37" s="479"/>
      <c r="M37" s="479"/>
      <c r="N37" s="479"/>
      <c r="O37" s="172">
        <f t="shared" si="1"/>
        <v>0</v>
      </c>
      <c r="P37" s="173">
        <f t="shared" si="2"/>
        <v>0</v>
      </c>
      <c r="Q37" s="174">
        <f t="shared" si="8"/>
        <v>0</v>
      </c>
      <c r="R37" s="175"/>
      <c r="S37" s="175" t="str">
        <f t="shared" si="9"/>
        <v/>
      </c>
      <c r="T37" s="176">
        <f t="shared" si="3"/>
        <v>0</v>
      </c>
      <c r="U37" s="176">
        <f t="shared" si="4"/>
        <v>0</v>
      </c>
      <c r="V37" s="175"/>
      <c r="W37" s="175" t="str">
        <f t="shared" si="10"/>
        <v/>
      </c>
      <c r="X37" s="176">
        <f t="shared" si="5"/>
        <v>0</v>
      </c>
      <c r="Y37" s="176">
        <f t="shared" si="11"/>
        <v>0</v>
      </c>
      <c r="Z37" s="177">
        <v>0</v>
      </c>
      <c r="AA37" s="27"/>
      <c r="AB37" s="22"/>
    </row>
    <row r="38" spans="1:28" s="21" customFormat="1" ht="45" customHeight="1" x14ac:dyDescent="0.35">
      <c r="A38" s="171" t="str">
        <f>'Prise Mesures '!A22</f>
        <v>O</v>
      </c>
      <c r="B38" s="479" t="str">
        <f>'Prise Mesures '!B22</f>
        <v>Longueur milieu dos / Middle back length</v>
      </c>
      <c r="C38" s="479"/>
      <c r="D38" s="479"/>
      <c r="E38" s="479"/>
      <c r="F38" s="25"/>
      <c r="G38" s="24"/>
      <c r="H38" s="24" t="str">
        <f t="shared" si="0"/>
        <v/>
      </c>
      <c r="I38" s="26">
        <f>'[2]Prise Mesures '!C22</f>
        <v>1</v>
      </c>
      <c r="J38" s="171" t="str">
        <f t="shared" si="6"/>
        <v>O</v>
      </c>
      <c r="K38" s="479" t="str">
        <f t="shared" si="7"/>
        <v>Longueur milieu dos / Middle back length</v>
      </c>
      <c r="L38" s="479"/>
      <c r="M38" s="479"/>
      <c r="N38" s="479"/>
      <c r="O38" s="172">
        <f t="shared" si="1"/>
        <v>1</v>
      </c>
      <c r="P38" s="173">
        <f t="shared" si="2"/>
        <v>-0.5</v>
      </c>
      <c r="Q38" s="174">
        <f>F38</f>
        <v>0</v>
      </c>
      <c r="R38" s="175"/>
      <c r="S38" s="175" t="str">
        <f t="shared" si="9"/>
        <v/>
      </c>
      <c r="T38" s="176">
        <f t="shared" si="3"/>
        <v>0.5</v>
      </c>
      <c r="U38" s="176">
        <f t="shared" si="4"/>
        <v>1</v>
      </c>
      <c r="V38" s="175"/>
      <c r="W38" s="175" t="str">
        <f t="shared" si="10"/>
        <v/>
      </c>
      <c r="X38" s="176">
        <f t="shared" si="5"/>
        <v>1.5</v>
      </c>
      <c r="Y38" s="176">
        <f t="shared" si="11"/>
        <v>2</v>
      </c>
      <c r="Z38" s="177">
        <v>0.5</v>
      </c>
      <c r="AA38" s="27"/>
      <c r="AB38" s="22"/>
    </row>
    <row r="39" spans="1:28" s="180" customFormat="1" ht="45" customHeight="1" x14ac:dyDescent="0.35">
      <c r="A39" s="171" t="str">
        <f>'Prise Mesures '!A23</f>
        <v>P1</v>
      </c>
      <c r="B39" s="479" t="str">
        <f>'Prise Mesures '!B23</f>
        <v>Longueur milieu devant / Middle front length</v>
      </c>
      <c r="C39" s="479"/>
      <c r="D39" s="479"/>
      <c r="E39" s="479"/>
      <c r="F39" s="25"/>
      <c r="G39" s="24"/>
      <c r="H39" s="24" t="str">
        <f t="shared" si="0"/>
        <v/>
      </c>
      <c r="I39" s="26">
        <f>'[2]Prise Mesures '!C23</f>
        <v>1</v>
      </c>
      <c r="J39" s="171" t="str">
        <f t="shared" si="6"/>
        <v>P1</v>
      </c>
      <c r="K39" s="479" t="str">
        <f t="shared" si="7"/>
        <v>Longueur milieu devant / Middle front length</v>
      </c>
      <c r="L39" s="479"/>
      <c r="M39" s="479"/>
      <c r="N39" s="479"/>
      <c r="O39" s="172">
        <f t="shared" si="1"/>
        <v>1</v>
      </c>
      <c r="P39" s="173">
        <f t="shared" si="2"/>
        <v>-0.5</v>
      </c>
      <c r="Q39" s="174">
        <f t="shared" si="8"/>
        <v>0</v>
      </c>
      <c r="R39" s="175"/>
      <c r="S39" s="175" t="str">
        <f t="shared" si="9"/>
        <v/>
      </c>
      <c r="T39" s="176">
        <f t="shared" si="3"/>
        <v>0.5</v>
      </c>
      <c r="U39" s="176">
        <f t="shared" si="4"/>
        <v>1</v>
      </c>
      <c r="V39" s="175"/>
      <c r="W39" s="175" t="str">
        <f t="shared" si="10"/>
        <v/>
      </c>
      <c r="X39" s="176">
        <f t="shared" si="5"/>
        <v>1.5</v>
      </c>
      <c r="Y39" s="176">
        <f t="shared" si="11"/>
        <v>2</v>
      </c>
      <c r="Z39" s="177">
        <v>0.5</v>
      </c>
      <c r="AA39" s="27"/>
      <c r="AB39" s="22"/>
    </row>
    <row r="40" spans="1:28" s="180" customFormat="1" ht="45" customHeight="1" x14ac:dyDescent="0.35">
      <c r="A40" s="171" t="str">
        <f>'Prise Mesures '!A24</f>
        <v>Q</v>
      </c>
      <c r="B40" s="479" t="str">
        <f>'Prise Mesures '!B24</f>
        <v>1/2 envergure / 1/2 wingspan</v>
      </c>
      <c r="C40" s="479"/>
      <c r="D40" s="479"/>
      <c r="E40" s="479"/>
      <c r="F40" s="25"/>
      <c r="G40" s="24"/>
      <c r="H40" s="24" t="str">
        <f t="shared" si="0"/>
        <v/>
      </c>
      <c r="I40" s="26">
        <f>'[2]Prise Mesures '!C24</f>
        <v>1</v>
      </c>
      <c r="J40" s="171" t="str">
        <f t="shared" si="6"/>
        <v>Q</v>
      </c>
      <c r="K40" s="479" t="str">
        <f t="shared" si="7"/>
        <v>1/2 envergure / 1/2 wingspan</v>
      </c>
      <c r="L40" s="479"/>
      <c r="M40" s="479"/>
      <c r="N40" s="479"/>
      <c r="O40" s="172">
        <f t="shared" si="1"/>
        <v>1</v>
      </c>
      <c r="P40" s="173">
        <f t="shared" si="2"/>
        <v>-1</v>
      </c>
      <c r="Q40" s="174">
        <f t="shared" si="8"/>
        <v>0</v>
      </c>
      <c r="R40" s="175"/>
      <c r="S40" s="175" t="str">
        <f t="shared" si="9"/>
        <v/>
      </c>
      <c r="T40" s="176">
        <f t="shared" si="3"/>
        <v>1</v>
      </c>
      <c r="U40" s="176">
        <f t="shared" si="4"/>
        <v>2</v>
      </c>
      <c r="V40" s="175"/>
      <c r="W40" s="175" t="str">
        <f t="shared" si="10"/>
        <v/>
      </c>
      <c r="X40" s="176">
        <f t="shared" si="5"/>
        <v>3</v>
      </c>
      <c r="Y40" s="176">
        <f t="shared" si="11"/>
        <v>4</v>
      </c>
      <c r="Z40" s="177">
        <v>1</v>
      </c>
      <c r="AA40" s="27"/>
      <c r="AB40" s="22"/>
    </row>
    <row r="41" spans="1:28" s="180" customFormat="1" ht="45" customHeight="1" x14ac:dyDescent="0.35">
      <c r="A41" s="171" t="str">
        <f>'Prise Mesures '!A25</f>
        <v>R</v>
      </c>
      <c r="B41" s="479" t="str">
        <f>'Prise Mesures '!B25</f>
        <v xml:space="preserve">Longueur bord col / Collar edge length </v>
      </c>
      <c r="C41" s="479"/>
      <c r="D41" s="479"/>
      <c r="E41" s="479"/>
      <c r="F41" s="25"/>
      <c r="G41" s="24"/>
      <c r="H41" s="24" t="str">
        <f t="shared" si="0"/>
        <v/>
      </c>
      <c r="I41" s="26">
        <f>'[2]Prise Mesures '!C25</f>
        <v>0.5</v>
      </c>
      <c r="J41" s="171" t="str">
        <f t="shared" si="6"/>
        <v>R</v>
      </c>
      <c r="K41" s="479" t="str">
        <f t="shared" si="7"/>
        <v xml:space="preserve">Longueur bord col / Collar edge length </v>
      </c>
      <c r="L41" s="479"/>
      <c r="M41" s="479"/>
      <c r="N41" s="479"/>
      <c r="O41" s="172">
        <f t="shared" si="1"/>
        <v>0.5</v>
      </c>
      <c r="P41" s="173">
        <f t="shared" si="2"/>
        <v>-1.2</v>
      </c>
      <c r="Q41" s="174">
        <f t="shared" si="8"/>
        <v>0</v>
      </c>
      <c r="R41" s="175"/>
      <c r="S41" s="175" t="str">
        <f t="shared" si="9"/>
        <v/>
      </c>
      <c r="T41" s="176">
        <f t="shared" si="3"/>
        <v>1.2</v>
      </c>
      <c r="U41" s="176">
        <f t="shared" si="4"/>
        <v>2.4</v>
      </c>
      <c r="V41" s="175"/>
      <c r="W41" s="175" t="str">
        <f t="shared" si="10"/>
        <v/>
      </c>
      <c r="X41" s="176">
        <f t="shared" si="5"/>
        <v>3.5999999999999996</v>
      </c>
      <c r="Y41" s="176">
        <f t="shared" si="11"/>
        <v>4.8</v>
      </c>
      <c r="Z41" s="177">
        <v>1.2</v>
      </c>
      <c r="AA41" s="27"/>
      <c r="AB41" s="22"/>
    </row>
    <row r="42" spans="1:28" s="180" customFormat="1" ht="45" customHeight="1" thickBot="1" x14ac:dyDescent="0.4">
      <c r="A42" s="171" t="str">
        <f>'Prise Mesures '!A26</f>
        <v>S</v>
      </c>
      <c r="B42" s="479" t="str">
        <f>'Prise Mesures '!B26</f>
        <v>Hauteur fente / Slit length</v>
      </c>
      <c r="C42" s="479"/>
      <c r="D42" s="479"/>
      <c r="E42" s="479"/>
      <c r="F42" s="25"/>
      <c r="G42" s="24"/>
      <c r="H42" s="24" t="str">
        <f t="shared" si="0"/>
        <v/>
      </c>
      <c r="I42" s="26">
        <f>'[2]Prise Mesures '!C26</f>
        <v>0</v>
      </c>
      <c r="J42" s="276" t="str">
        <f t="shared" si="6"/>
        <v>S</v>
      </c>
      <c r="K42" s="480" t="str">
        <f t="shared" si="7"/>
        <v>Hauteur fente / Slit length</v>
      </c>
      <c r="L42" s="480"/>
      <c r="M42" s="480"/>
      <c r="N42" s="480"/>
      <c r="O42" s="270">
        <f t="shared" si="1"/>
        <v>0</v>
      </c>
      <c r="P42" s="277">
        <f t="shared" si="2"/>
        <v>0</v>
      </c>
      <c r="Q42" s="271">
        <f t="shared" si="8"/>
        <v>0</v>
      </c>
      <c r="R42" s="272"/>
      <c r="S42" s="272" t="str">
        <f t="shared" si="9"/>
        <v/>
      </c>
      <c r="T42" s="273">
        <f t="shared" si="3"/>
        <v>0</v>
      </c>
      <c r="U42" s="273">
        <f t="shared" si="4"/>
        <v>0</v>
      </c>
      <c r="V42" s="272"/>
      <c r="W42" s="272" t="str">
        <f t="shared" si="10"/>
        <v/>
      </c>
      <c r="X42" s="273">
        <f t="shared" si="5"/>
        <v>0</v>
      </c>
      <c r="Y42" s="273">
        <f t="shared" si="11"/>
        <v>0</v>
      </c>
      <c r="Z42" s="274">
        <v>0</v>
      </c>
      <c r="AA42" s="27"/>
      <c r="AB42" s="22"/>
    </row>
    <row r="43" spans="1:28" ht="15" customHeight="1" x14ac:dyDescent="0.2">
      <c r="A43" s="481" t="s">
        <v>31</v>
      </c>
      <c r="B43" s="482"/>
      <c r="C43" s="482"/>
      <c r="D43" s="482"/>
      <c r="E43" s="482"/>
      <c r="F43" s="482"/>
      <c r="G43" s="482"/>
      <c r="H43" s="482"/>
      <c r="I43" s="483"/>
      <c r="J43" s="279" t="s">
        <v>31</v>
      </c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1"/>
    </row>
    <row r="44" spans="1:28" ht="12.75" customHeight="1" x14ac:dyDescent="0.2">
      <c r="A44" s="279"/>
      <c r="B44" s="280"/>
      <c r="C44" s="280"/>
      <c r="D44" s="280"/>
      <c r="E44" s="280"/>
      <c r="F44" s="280"/>
      <c r="G44" s="280"/>
      <c r="H44" s="280"/>
      <c r="I44" s="281"/>
      <c r="J44" s="279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1"/>
    </row>
    <row r="45" spans="1:28" ht="24" customHeight="1" thickBot="1" x14ac:dyDescent="0.25">
      <c r="A45" s="282"/>
      <c r="B45" s="283"/>
      <c r="C45" s="283"/>
      <c r="D45" s="283"/>
      <c r="E45" s="283"/>
      <c r="F45" s="283"/>
      <c r="G45" s="283"/>
      <c r="H45" s="283"/>
      <c r="I45" s="284"/>
      <c r="J45" s="282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4"/>
    </row>
    <row r="58" spans="5:5" ht="23.25" x14ac:dyDescent="0.2">
      <c r="E58" s="181"/>
    </row>
    <row r="59" spans="5:5" ht="23.25" x14ac:dyDescent="0.2">
      <c r="E59" s="181"/>
    </row>
  </sheetData>
  <mergeCells count="61">
    <mergeCell ref="A1:E1"/>
    <mergeCell ref="F1:I1"/>
    <mergeCell ref="J1:S1"/>
    <mergeCell ref="T1:Z1"/>
    <mergeCell ref="A2:I3"/>
    <mergeCell ref="J2:Z3"/>
    <mergeCell ref="B22:E22"/>
    <mergeCell ref="K22:N22"/>
    <mergeCell ref="A4:B5"/>
    <mergeCell ref="C4:E5"/>
    <mergeCell ref="F4:G5"/>
    <mergeCell ref="H4:I5"/>
    <mergeCell ref="J4:K5"/>
    <mergeCell ref="L4:O5"/>
    <mergeCell ref="P4:S5"/>
    <mergeCell ref="T4:V5"/>
    <mergeCell ref="W4:Z5"/>
    <mergeCell ref="A6:I21"/>
    <mergeCell ref="J6:Z21"/>
    <mergeCell ref="B23:E23"/>
    <mergeCell ref="K23:N23"/>
    <mergeCell ref="B24:E24"/>
    <mergeCell ref="K24:N24"/>
    <mergeCell ref="B25:E25"/>
    <mergeCell ref="K25:N25"/>
    <mergeCell ref="B26:E26"/>
    <mergeCell ref="K26:N26"/>
    <mergeCell ref="B27:E27"/>
    <mergeCell ref="K27:N27"/>
    <mergeCell ref="B28:E28"/>
    <mergeCell ref="K28:N28"/>
    <mergeCell ref="B29:E29"/>
    <mergeCell ref="K29:N29"/>
    <mergeCell ref="B30:E30"/>
    <mergeCell ref="K30:N30"/>
    <mergeCell ref="B31:E31"/>
    <mergeCell ref="K31:N31"/>
    <mergeCell ref="B32:E32"/>
    <mergeCell ref="K32:N32"/>
    <mergeCell ref="B33:E33"/>
    <mergeCell ref="K33:N33"/>
    <mergeCell ref="B34:E34"/>
    <mergeCell ref="K34:N34"/>
    <mergeCell ref="B35:E35"/>
    <mergeCell ref="K35:N35"/>
    <mergeCell ref="B36:E36"/>
    <mergeCell ref="K36:N36"/>
    <mergeCell ref="B37:E37"/>
    <mergeCell ref="K37:N37"/>
    <mergeCell ref="B38:E38"/>
    <mergeCell ref="K38:N38"/>
    <mergeCell ref="B39:E39"/>
    <mergeCell ref="K39:N39"/>
    <mergeCell ref="B40:E40"/>
    <mergeCell ref="K40:N40"/>
    <mergeCell ref="B41:E41"/>
    <mergeCell ref="K41:N41"/>
    <mergeCell ref="B42:E42"/>
    <mergeCell ref="K42:N42"/>
    <mergeCell ref="A43:I45"/>
    <mergeCell ref="J43:Z45"/>
  </mergeCells>
  <conditionalFormatting sqref="H23:H42">
    <cfRule type="expression" dxfId="7" priority="3" stopIfTrue="1">
      <formula>ABS(H23)&gt;I23</formula>
    </cfRule>
  </conditionalFormatting>
  <conditionalFormatting sqref="S23:S42">
    <cfRule type="expression" dxfId="6" priority="2" stopIfTrue="1">
      <formula>ABS(S23)&gt;L23</formula>
    </cfRule>
  </conditionalFormatting>
  <conditionalFormatting sqref="W23:W42">
    <cfRule type="expression" dxfId="5" priority="1" stopIfTrue="1">
      <formula>ABS(W23)&gt;O23</formula>
    </cfRule>
  </conditionalFormatting>
  <printOptions horizontalCentered="1"/>
  <pageMargins left="0.27559055118110237" right="0.27559055118110237" top="0.19685039370078741" bottom="0" header="0" footer="0"/>
  <pageSetup paperSize="9" scale="43" fitToWidth="0" orientation="portrait" r:id="rId1"/>
  <headerFooter alignWithMargins="0"/>
  <colBreaks count="1" manualBreakCount="1">
    <brk id="9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04B8-476D-4302-897C-5BF8C0C66F9F}">
  <sheetPr>
    <pageSetUpPr fitToPage="1"/>
  </sheetPr>
  <dimension ref="A1:AC59"/>
  <sheetViews>
    <sheetView view="pageBreakPreview" zoomScale="55" zoomScaleNormal="55" zoomScaleSheetLayoutView="55" workbookViewId="0">
      <selection activeCell="T1" sqref="T1:AA1"/>
    </sheetView>
  </sheetViews>
  <sheetFormatPr baseColWidth="10" defaultColWidth="11.42578125" defaultRowHeight="12.75" x14ac:dyDescent="0.2"/>
  <cols>
    <col min="1" max="1" width="10.28515625" style="20" customWidth="1"/>
    <col min="2" max="2" width="21.28515625" style="20" customWidth="1"/>
    <col min="3" max="3" width="35.85546875" style="20" customWidth="1"/>
    <col min="4" max="4" width="10.42578125" style="20" customWidth="1"/>
    <col min="5" max="5" width="64.28515625" style="20" customWidth="1"/>
    <col min="6" max="6" width="22.85546875" style="20" customWidth="1"/>
    <col min="7" max="7" width="20.7109375" style="182" customWidth="1"/>
    <col min="8" max="8" width="17" style="182" bestFit="1" customWidth="1"/>
    <col min="9" max="9" width="15.42578125" style="20" bestFit="1" customWidth="1"/>
    <col min="10" max="10" width="10.28515625" style="20" customWidth="1"/>
    <col min="11" max="11" width="23.28515625" style="20" customWidth="1"/>
    <col min="12" max="12" width="30.5703125" style="20" customWidth="1"/>
    <col min="13" max="13" width="10.42578125" style="20" customWidth="1"/>
    <col min="14" max="14" width="29.42578125" style="20" customWidth="1"/>
    <col min="15" max="15" width="8.42578125" style="20" customWidth="1"/>
    <col min="16" max="16" width="10.7109375" style="183" customWidth="1"/>
    <col min="17" max="17" width="10.140625" style="20" customWidth="1"/>
    <col min="18" max="18" width="10.42578125" style="20" customWidth="1"/>
    <col min="19" max="20" width="9.7109375" style="20" customWidth="1"/>
    <col min="21" max="21" width="12.28515625" style="184" customWidth="1"/>
    <col min="22" max="22" width="10" style="182" customWidth="1"/>
    <col min="23" max="23" width="9.7109375" style="182" customWidth="1"/>
    <col min="24" max="24" width="12.28515625" style="20" hidden="1" customWidth="1"/>
    <col min="25" max="25" width="11.140625" style="20" customWidth="1"/>
    <col min="26" max="26" width="10" style="20" hidden="1" customWidth="1"/>
    <col min="27" max="27" width="13" style="20" customWidth="1"/>
    <col min="28" max="28" width="9.7109375" style="20" customWidth="1"/>
    <col min="29" max="16384" width="11.42578125" style="20"/>
  </cols>
  <sheetData>
    <row r="1" spans="1:28" ht="21" customHeight="1" x14ac:dyDescent="0.25">
      <c r="A1" s="326" t="s">
        <v>24</v>
      </c>
      <c r="B1" s="327"/>
      <c r="C1" s="327"/>
      <c r="D1" s="327"/>
      <c r="E1" s="328"/>
      <c r="F1" s="329" t="str">
        <f>'CROQUIS '!$G$2</f>
        <v>Fabricant : EV FASHION</v>
      </c>
      <c r="G1" s="330"/>
      <c r="H1" s="330"/>
      <c r="I1" s="331"/>
      <c r="J1" s="326" t="s">
        <v>24</v>
      </c>
      <c r="K1" s="327"/>
      <c r="L1" s="327"/>
      <c r="M1" s="327"/>
      <c r="N1" s="327"/>
      <c r="O1" s="327"/>
      <c r="P1" s="327"/>
      <c r="Q1" s="327"/>
      <c r="R1" s="327"/>
      <c r="S1" s="328"/>
      <c r="T1" s="329" t="str">
        <f>F1</f>
        <v>Fabricant : EV FASHION</v>
      </c>
      <c r="U1" s="330"/>
      <c r="V1" s="330"/>
      <c r="W1" s="330"/>
      <c r="X1" s="330"/>
      <c r="Y1" s="330"/>
      <c r="Z1" s="330"/>
      <c r="AA1" s="331"/>
      <c r="AB1" s="151"/>
    </row>
    <row r="2" spans="1:28" ht="30.75" customHeight="1" x14ac:dyDescent="0.2">
      <c r="A2" s="332" t="s">
        <v>50</v>
      </c>
      <c r="B2" s="333"/>
      <c r="C2" s="333"/>
      <c r="D2" s="333"/>
      <c r="E2" s="333"/>
      <c r="F2" s="333"/>
      <c r="G2" s="333"/>
      <c r="H2" s="333"/>
      <c r="I2" s="334"/>
      <c r="J2" s="332" t="s">
        <v>50</v>
      </c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4"/>
      <c r="AB2" s="152"/>
    </row>
    <row r="3" spans="1:28" ht="12" customHeight="1" x14ac:dyDescent="0.2">
      <c r="A3" s="335"/>
      <c r="B3" s="336"/>
      <c r="C3" s="336"/>
      <c r="D3" s="336"/>
      <c r="E3" s="336"/>
      <c r="F3" s="336"/>
      <c r="G3" s="336"/>
      <c r="H3" s="336"/>
      <c r="I3" s="337"/>
      <c r="J3" s="335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7"/>
      <c r="AB3" s="152"/>
    </row>
    <row r="4" spans="1:28" s="154" customFormat="1" ht="12.75" customHeight="1" x14ac:dyDescent="0.3">
      <c r="A4" s="313" t="str">
        <f>'CROQUIS '!$E$5</f>
        <v>Thème :  1EVA32</v>
      </c>
      <c r="B4" s="314"/>
      <c r="C4" s="317" t="str">
        <f>'CROQUIS '!$G$5</f>
        <v>Modèle : V09413 BELL</v>
      </c>
      <c r="D4" s="285"/>
      <c r="E4" s="286"/>
      <c r="F4" s="285" t="s">
        <v>33</v>
      </c>
      <c r="G4" s="286"/>
      <c r="H4" s="317" t="str">
        <f>'CROQUIS '!$C$5</f>
        <v>Saison : 26H</v>
      </c>
      <c r="I4" s="321"/>
      <c r="J4" s="313" t="str">
        <f>A4</f>
        <v>Thème :  1EVA32</v>
      </c>
      <c r="K4" s="314"/>
      <c r="L4" s="317" t="str">
        <f>C4</f>
        <v>Modèle : V09413 BELL</v>
      </c>
      <c r="M4" s="285"/>
      <c r="N4" s="285"/>
      <c r="O4" s="285"/>
      <c r="P4" s="317" t="str">
        <f>F4</f>
        <v>Collection :  VB</v>
      </c>
      <c r="Q4" s="285"/>
      <c r="R4" s="285"/>
      <c r="S4" s="286"/>
      <c r="T4" s="317" t="str">
        <f>H4</f>
        <v>Saison : 26H</v>
      </c>
      <c r="U4" s="285"/>
      <c r="V4" s="285"/>
      <c r="W4" s="484"/>
      <c r="X4" s="485"/>
      <c r="Y4" s="485"/>
      <c r="Z4" s="485"/>
      <c r="AA4" s="486"/>
      <c r="AB4" s="153"/>
    </row>
    <row r="5" spans="1:28" s="154" customFormat="1" ht="19.5" customHeight="1" thickBot="1" x14ac:dyDescent="0.35">
      <c r="A5" s="315"/>
      <c r="B5" s="316"/>
      <c r="C5" s="318"/>
      <c r="D5" s="319"/>
      <c r="E5" s="320"/>
      <c r="F5" s="319"/>
      <c r="G5" s="320"/>
      <c r="H5" s="318"/>
      <c r="I5" s="322"/>
      <c r="J5" s="323"/>
      <c r="K5" s="324"/>
      <c r="L5" s="325"/>
      <c r="M5" s="287"/>
      <c r="N5" s="287"/>
      <c r="O5" s="287"/>
      <c r="P5" s="325"/>
      <c r="Q5" s="287"/>
      <c r="R5" s="287"/>
      <c r="S5" s="288"/>
      <c r="T5" s="325"/>
      <c r="U5" s="287"/>
      <c r="V5" s="287"/>
      <c r="W5" s="487"/>
      <c r="X5" s="488"/>
      <c r="Y5" s="488"/>
      <c r="Z5" s="488"/>
      <c r="AA5" s="489"/>
      <c r="AB5" s="153"/>
    </row>
    <row r="6" spans="1:28" ht="29.25" customHeight="1" x14ac:dyDescent="0.25">
      <c r="A6" s="289"/>
      <c r="B6" s="290"/>
      <c r="C6" s="290"/>
      <c r="D6" s="290"/>
      <c r="E6" s="290"/>
      <c r="F6" s="290"/>
      <c r="G6" s="290"/>
      <c r="H6" s="290"/>
      <c r="I6" s="291"/>
      <c r="J6" s="298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300"/>
      <c r="AB6" s="155"/>
    </row>
    <row r="7" spans="1:28" ht="27.75" customHeight="1" x14ac:dyDescent="0.25">
      <c r="A7" s="292"/>
      <c r="B7" s="293"/>
      <c r="C7" s="293"/>
      <c r="D7" s="293"/>
      <c r="E7" s="293"/>
      <c r="F7" s="293"/>
      <c r="G7" s="293"/>
      <c r="H7" s="293"/>
      <c r="I7" s="294"/>
      <c r="J7" s="298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300"/>
      <c r="AB7" s="155"/>
    </row>
    <row r="8" spans="1:28" ht="21" customHeight="1" x14ac:dyDescent="0.25">
      <c r="A8" s="292"/>
      <c r="B8" s="293"/>
      <c r="C8" s="293"/>
      <c r="D8" s="293"/>
      <c r="E8" s="293"/>
      <c r="F8" s="293"/>
      <c r="G8" s="293"/>
      <c r="H8" s="293"/>
      <c r="I8" s="294"/>
      <c r="J8" s="298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300"/>
      <c r="AB8" s="155"/>
    </row>
    <row r="9" spans="1:28" ht="21" customHeight="1" x14ac:dyDescent="0.25">
      <c r="A9" s="292"/>
      <c r="B9" s="293"/>
      <c r="C9" s="293"/>
      <c r="D9" s="293"/>
      <c r="E9" s="293"/>
      <c r="F9" s="293"/>
      <c r="G9" s="293"/>
      <c r="H9" s="293"/>
      <c r="I9" s="294"/>
      <c r="J9" s="298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300"/>
      <c r="AB9" s="155"/>
    </row>
    <row r="10" spans="1:28" ht="44.25" customHeight="1" x14ac:dyDescent="0.25">
      <c r="A10" s="292"/>
      <c r="B10" s="293"/>
      <c r="C10" s="293"/>
      <c r="D10" s="293"/>
      <c r="E10" s="293"/>
      <c r="F10" s="293"/>
      <c r="G10" s="293"/>
      <c r="H10" s="293"/>
      <c r="I10" s="294"/>
      <c r="J10" s="298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300"/>
      <c r="AB10" s="155"/>
    </row>
    <row r="11" spans="1:28" ht="21" customHeight="1" x14ac:dyDescent="0.25">
      <c r="A11" s="292"/>
      <c r="B11" s="293"/>
      <c r="C11" s="293"/>
      <c r="D11" s="293"/>
      <c r="E11" s="293"/>
      <c r="F11" s="293"/>
      <c r="G11" s="293"/>
      <c r="H11" s="293"/>
      <c r="I11" s="294"/>
      <c r="J11" s="298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  <c r="AA11" s="300"/>
      <c r="AB11" s="155"/>
    </row>
    <row r="12" spans="1:28" ht="21" customHeight="1" x14ac:dyDescent="0.25">
      <c r="A12" s="292"/>
      <c r="B12" s="293"/>
      <c r="C12" s="293"/>
      <c r="D12" s="293"/>
      <c r="E12" s="293"/>
      <c r="F12" s="293"/>
      <c r="G12" s="293"/>
      <c r="H12" s="293"/>
      <c r="I12" s="294"/>
      <c r="J12" s="298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300"/>
      <c r="AB12" s="155"/>
    </row>
    <row r="13" spans="1:28" ht="29.25" customHeight="1" x14ac:dyDescent="0.25">
      <c r="A13" s="292"/>
      <c r="B13" s="293"/>
      <c r="C13" s="293"/>
      <c r="D13" s="293"/>
      <c r="E13" s="293"/>
      <c r="F13" s="293"/>
      <c r="G13" s="293"/>
      <c r="H13" s="293"/>
      <c r="I13" s="294"/>
      <c r="J13" s="298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300"/>
      <c r="AB13" s="155"/>
    </row>
    <row r="14" spans="1:28" ht="21" customHeight="1" x14ac:dyDescent="0.25">
      <c r="A14" s="292"/>
      <c r="B14" s="293"/>
      <c r="C14" s="293"/>
      <c r="D14" s="293"/>
      <c r="E14" s="293"/>
      <c r="F14" s="293"/>
      <c r="G14" s="293"/>
      <c r="H14" s="293"/>
      <c r="I14" s="294"/>
      <c r="J14" s="298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300"/>
      <c r="AB14" s="155"/>
    </row>
    <row r="15" spans="1:28" ht="21" customHeight="1" x14ac:dyDescent="0.25">
      <c r="A15" s="292"/>
      <c r="B15" s="293"/>
      <c r="C15" s="293"/>
      <c r="D15" s="293"/>
      <c r="E15" s="293"/>
      <c r="F15" s="293"/>
      <c r="G15" s="293"/>
      <c r="H15" s="293"/>
      <c r="I15" s="294"/>
      <c r="J15" s="298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300"/>
      <c r="AB15" s="155"/>
    </row>
    <row r="16" spans="1:28" ht="39.75" customHeight="1" x14ac:dyDescent="0.25">
      <c r="A16" s="292"/>
      <c r="B16" s="293"/>
      <c r="C16" s="293"/>
      <c r="D16" s="293"/>
      <c r="E16" s="293"/>
      <c r="F16" s="293"/>
      <c r="G16" s="293"/>
      <c r="H16" s="293"/>
      <c r="I16" s="294"/>
      <c r="J16" s="298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  <c r="AA16" s="300"/>
      <c r="AB16" s="155"/>
    </row>
    <row r="17" spans="1:29" ht="24" customHeight="1" x14ac:dyDescent="0.25">
      <c r="A17" s="292"/>
      <c r="B17" s="293"/>
      <c r="C17" s="293"/>
      <c r="D17" s="293"/>
      <c r="E17" s="293"/>
      <c r="F17" s="293"/>
      <c r="G17" s="293"/>
      <c r="H17" s="293"/>
      <c r="I17" s="294"/>
      <c r="J17" s="298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299"/>
      <c r="AA17" s="300"/>
      <c r="AB17" s="155"/>
    </row>
    <row r="18" spans="1:29" ht="21" customHeight="1" x14ac:dyDescent="0.25">
      <c r="A18" s="292"/>
      <c r="B18" s="293"/>
      <c r="C18" s="293"/>
      <c r="D18" s="293"/>
      <c r="E18" s="293"/>
      <c r="F18" s="293"/>
      <c r="G18" s="293"/>
      <c r="H18" s="293"/>
      <c r="I18" s="294"/>
      <c r="J18" s="298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  <c r="AA18" s="300"/>
      <c r="AB18" s="155"/>
    </row>
    <row r="19" spans="1:29" ht="21" customHeight="1" x14ac:dyDescent="0.25">
      <c r="A19" s="292"/>
      <c r="B19" s="293"/>
      <c r="C19" s="293"/>
      <c r="D19" s="293"/>
      <c r="E19" s="293"/>
      <c r="F19" s="293"/>
      <c r="G19" s="293"/>
      <c r="H19" s="293"/>
      <c r="I19" s="294"/>
      <c r="J19" s="298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300"/>
      <c r="AB19" s="155"/>
    </row>
    <row r="20" spans="1:29" ht="226.9" customHeight="1" x14ac:dyDescent="0.25">
      <c r="A20" s="292"/>
      <c r="B20" s="293"/>
      <c r="C20" s="293"/>
      <c r="D20" s="293"/>
      <c r="E20" s="293"/>
      <c r="F20" s="293"/>
      <c r="G20" s="293"/>
      <c r="H20" s="293"/>
      <c r="I20" s="294"/>
      <c r="J20" s="298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300"/>
      <c r="AB20" s="155"/>
    </row>
    <row r="21" spans="1:29" ht="207" customHeight="1" thickBot="1" x14ac:dyDescent="0.3">
      <c r="A21" s="295"/>
      <c r="B21" s="296"/>
      <c r="C21" s="296"/>
      <c r="D21" s="296"/>
      <c r="E21" s="296"/>
      <c r="F21" s="296"/>
      <c r="G21" s="296"/>
      <c r="H21" s="296"/>
      <c r="I21" s="297"/>
      <c r="J21" s="301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3"/>
      <c r="AB21" s="155"/>
    </row>
    <row r="22" spans="1:29" ht="112.5" customHeight="1" x14ac:dyDescent="0.2">
      <c r="A22" s="157" t="s">
        <v>3</v>
      </c>
      <c r="B22" s="310" t="s">
        <v>1</v>
      </c>
      <c r="C22" s="311"/>
      <c r="D22" s="311"/>
      <c r="E22" s="312"/>
      <c r="F22" s="159" t="s">
        <v>58</v>
      </c>
      <c r="G22" s="160" t="s">
        <v>59</v>
      </c>
      <c r="H22" s="161" t="s">
        <v>51</v>
      </c>
      <c r="I22" s="162" t="s">
        <v>26</v>
      </c>
      <c r="J22" s="157" t="s">
        <v>3</v>
      </c>
      <c r="K22" s="310" t="s">
        <v>1</v>
      </c>
      <c r="L22" s="311"/>
      <c r="M22" s="311"/>
      <c r="N22" s="312"/>
      <c r="O22" s="163" t="s">
        <v>26</v>
      </c>
      <c r="P22" s="161" t="s">
        <v>61</v>
      </c>
      <c r="Q22" s="164" t="s">
        <v>19</v>
      </c>
      <c r="R22" s="165" t="s">
        <v>60</v>
      </c>
      <c r="S22" s="166" t="s">
        <v>52</v>
      </c>
      <c r="T22" s="161" t="s">
        <v>16</v>
      </c>
      <c r="U22" s="161" t="s">
        <v>15</v>
      </c>
      <c r="V22" s="165" t="s">
        <v>60</v>
      </c>
      <c r="W22" s="166" t="s">
        <v>52</v>
      </c>
      <c r="X22" s="167" t="s">
        <v>27</v>
      </c>
      <c r="Y22" s="167" t="s">
        <v>62</v>
      </c>
      <c r="Z22" s="158">
        <v>44</v>
      </c>
      <c r="AA22" s="168" t="s">
        <v>28</v>
      </c>
      <c r="AB22" s="185"/>
      <c r="AC22" s="170"/>
    </row>
    <row r="23" spans="1:29" s="21" customFormat="1" ht="45" customHeight="1" x14ac:dyDescent="0.35">
      <c r="A23" s="171" t="str">
        <f>'Prise Mesures '!A7</f>
        <v>A</v>
      </c>
      <c r="B23" s="479" t="str">
        <f>'Prise Mesures '!B7</f>
        <v>1/2 tour de poitrine (sous emmanchure) / 1/2 chest width (below armhole)</v>
      </c>
      <c r="C23" s="479"/>
      <c r="D23" s="479"/>
      <c r="E23" s="479"/>
      <c r="F23" s="25"/>
      <c r="G23" s="24"/>
      <c r="H23" s="24" t="str">
        <f t="shared" ref="H23" si="0">IF(ISBLANK(G23),"",G23-F23)</f>
        <v/>
      </c>
      <c r="I23" s="26">
        <f>'[2]Prise Mesures '!C7</f>
        <v>0.5</v>
      </c>
      <c r="J23" s="171" t="str">
        <f>'[2]Prise Mesures '!A7</f>
        <v>A</v>
      </c>
      <c r="K23" s="479" t="str">
        <f>B23</f>
        <v>1/2 tour de poitrine (sous emmanchure) / 1/2 chest width (below armhole)</v>
      </c>
      <c r="L23" s="479"/>
      <c r="M23" s="479"/>
      <c r="N23" s="479"/>
      <c r="O23" s="172">
        <f t="shared" ref="O23:O42" si="1">I23</f>
        <v>0.5</v>
      </c>
      <c r="P23" s="173">
        <f>Q23-AA23</f>
        <v>-3</v>
      </c>
      <c r="Q23" s="174">
        <f>$F23</f>
        <v>0</v>
      </c>
      <c r="R23" s="175"/>
      <c r="S23" s="175" t="str">
        <f>IF(ISBLANK($R23),"",($R23-$Q23))</f>
        <v/>
      </c>
      <c r="T23" s="176">
        <f>$Q23+$AA23</f>
        <v>3</v>
      </c>
      <c r="U23" s="176">
        <f>$T23+$AA23</f>
        <v>6</v>
      </c>
      <c r="V23" s="175"/>
      <c r="W23" s="175" t="str">
        <f>IF(ISBLANK($V23),"",($V23-$U23))</f>
        <v/>
      </c>
      <c r="X23" s="176">
        <f>$U23+$AA23</f>
        <v>9</v>
      </c>
      <c r="Y23" s="176">
        <f>$U23+$AA23</f>
        <v>9</v>
      </c>
      <c r="Z23" s="176">
        <f>$Y23+$AA23</f>
        <v>12</v>
      </c>
      <c r="AA23" s="177">
        <v>3</v>
      </c>
      <c r="AB23" s="27"/>
      <c r="AC23" s="22"/>
    </row>
    <row r="24" spans="1:29" s="21" customFormat="1" ht="45" customHeight="1" x14ac:dyDescent="0.35">
      <c r="A24" s="171" t="str">
        <f>'Prise Mesures '!A8</f>
        <v>B</v>
      </c>
      <c r="B24" s="479" t="str">
        <f>'Prise Mesures '!B8</f>
        <v>1/2 tour de bas de vêtement droit / 1/2 bottom width straight</v>
      </c>
      <c r="C24" s="479"/>
      <c r="D24" s="479"/>
      <c r="E24" s="479"/>
      <c r="F24" s="25"/>
      <c r="G24" s="24"/>
      <c r="H24" s="24" t="str">
        <f>IF(ISBLANK(G24),"",G24-F24)</f>
        <v/>
      </c>
      <c r="I24" s="26">
        <f>'[2]Prise Mesures '!C8</f>
        <v>0.5</v>
      </c>
      <c r="J24" s="171" t="str">
        <f>'[2]Prise Mesures '!A8</f>
        <v>B</v>
      </c>
      <c r="K24" s="479" t="str">
        <f t="shared" ref="K24:K42" si="2">B24</f>
        <v>1/2 tour de bas de vêtement droit / 1/2 bottom width straight</v>
      </c>
      <c r="L24" s="479"/>
      <c r="M24" s="479"/>
      <c r="N24" s="479"/>
      <c r="O24" s="172">
        <f t="shared" si="1"/>
        <v>0.5</v>
      </c>
      <c r="P24" s="173">
        <f>Q24-AA24</f>
        <v>-3</v>
      </c>
      <c r="Q24" s="174">
        <f>$F24</f>
        <v>0</v>
      </c>
      <c r="R24" s="175"/>
      <c r="S24" s="175" t="str">
        <f>IF(ISBLANK($R24),"",($R24-$Q24))</f>
        <v/>
      </c>
      <c r="T24" s="176">
        <f>$Q24+$AA24</f>
        <v>3</v>
      </c>
      <c r="U24" s="176">
        <f t="shared" ref="U24:U42" si="3">$T24+$AA24</f>
        <v>6</v>
      </c>
      <c r="V24" s="175"/>
      <c r="W24" s="175" t="str">
        <f>IF(ISBLANK($V24),"",($V24-$U24))</f>
        <v/>
      </c>
      <c r="X24" s="176">
        <f>$U24+$AA24</f>
        <v>9</v>
      </c>
      <c r="Y24" s="176">
        <f t="shared" ref="Y24:Y42" si="4">$U24+$AA24</f>
        <v>9</v>
      </c>
      <c r="Z24" s="176">
        <f>$Y24+$AA24</f>
        <v>12</v>
      </c>
      <c r="AA24" s="177">
        <v>3</v>
      </c>
      <c r="AB24" s="27"/>
      <c r="AC24" s="22"/>
    </row>
    <row r="25" spans="1:29" s="21" customFormat="1" ht="45" customHeight="1" x14ac:dyDescent="0.35">
      <c r="A25" s="171" t="str">
        <f>'Prise Mesures '!A9</f>
        <v>C</v>
      </c>
      <c r="B25" s="479" t="str">
        <f>'Prise Mesures '!B9</f>
        <v>1/2 encolure dos / 1/2 back neckline</v>
      </c>
      <c r="C25" s="479"/>
      <c r="D25" s="479"/>
      <c r="E25" s="479"/>
      <c r="F25" s="178"/>
      <c r="G25" s="24"/>
      <c r="H25" s="24" t="str">
        <f t="shared" ref="H25:H42" si="5">IF(ISBLANK(G25),"",G25-F25)</f>
        <v/>
      </c>
      <c r="I25" s="26">
        <f>'[2]Prise Mesures '!C9</f>
        <v>0.2</v>
      </c>
      <c r="J25" s="171" t="str">
        <f>'[2]Prise Mesures '!A9</f>
        <v>C</v>
      </c>
      <c r="K25" s="479" t="str">
        <f t="shared" si="2"/>
        <v>1/2 encolure dos / 1/2 back neckline</v>
      </c>
      <c r="L25" s="479"/>
      <c r="M25" s="479"/>
      <c r="N25" s="479"/>
      <c r="O25" s="172">
        <f t="shared" si="1"/>
        <v>0.2</v>
      </c>
      <c r="P25" s="173">
        <f t="shared" ref="P25:P42" si="6">Q25-AA25</f>
        <v>-0.375</v>
      </c>
      <c r="Q25" s="174">
        <f t="shared" ref="Q25:Q42" si="7">$F25</f>
        <v>0</v>
      </c>
      <c r="R25" s="175"/>
      <c r="S25" s="175" t="str">
        <f t="shared" ref="S25:S42" si="8">IF(ISBLANK($R25),"",($R25-$Q25))</f>
        <v/>
      </c>
      <c r="T25" s="176">
        <f t="shared" ref="T25:T42" si="9">$Q25+$AA25</f>
        <v>0.375</v>
      </c>
      <c r="U25" s="176">
        <f t="shared" si="3"/>
        <v>0.75</v>
      </c>
      <c r="V25" s="175"/>
      <c r="W25" s="175" t="str">
        <f t="shared" ref="W25:W42" si="10">IF(ISBLANK($V25),"",($V25-$U25))</f>
        <v/>
      </c>
      <c r="X25" s="176">
        <f t="shared" ref="X25:X42" si="11">$U25+$AA25</f>
        <v>1.125</v>
      </c>
      <c r="Y25" s="176">
        <f t="shared" si="4"/>
        <v>1.125</v>
      </c>
      <c r="Z25" s="176">
        <f t="shared" ref="Z25:Z42" si="12">$Y25+$AA25</f>
        <v>1.5</v>
      </c>
      <c r="AA25" s="177">
        <v>0.375</v>
      </c>
      <c r="AB25" s="27"/>
      <c r="AC25" s="22"/>
    </row>
    <row r="26" spans="1:29" s="21" customFormat="1" ht="45" customHeight="1" x14ac:dyDescent="0.35">
      <c r="A26" s="171" t="str">
        <f>'Prise Mesures '!A10</f>
        <v>D</v>
      </c>
      <c r="B26" s="479" t="str">
        <f>'Prise Mesures '!B10</f>
        <v>1/2 encolure devant jusqu'au bord / 1/2 front neckline to the edge</v>
      </c>
      <c r="C26" s="479"/>
      <c r="D26" s="479"/>
      <c r="E26" s="479"/>
      <c r="F26" s="25"/>
      <c r="G26" s="24"/>
      <c r="H26" s="24" t="str">
        <f>IF(ISBLANK(G26),"",G26-F26)</f>
        <v/>
      </c>
      <c r="I26" s="26">
        <f>'[2]Prise Mesures '!C10</f>
        <v>0.2</v>
      </c>
      <c r="J26" s="171" t="str">
        <f>'[2]Prise Mesures '!A10</f>
        <v>D</v>
      </c>
      <c r="K26" s="479" t="str">
        <f t="shared" si="2"/>
        <v>1/2 encolure devant jusqu'au bord / 1/2 front neckline to the edge</v>
      </c>
      <c r="L26" s="479"/>
      <c r="M26" s="479"/>
      <c r="N26" s="479"/>
      <c r="O26" s="172">
        <f t="shared" si="1"/>
        <v>0.2</v>
      </c>
      <c r="P26" s="173">
        <f t="shared" si="6"/>
        <v>-0.5</v>
      </c>
      <c r="Q26" s="174">
        <f t="shared" si="7"/>
        <v>0</v>
      </c>
      <c r="R26" s="175"/>
      <c r="S26" s="175" t="str">
        <f t="shared" si="8"/>
        <v/>
      </c>
      <c r="T26" s="176">
        <f t="shared" si="9"/>
        <v>0.5</v>
      </c>
      <c r="U26" s="176">
        <f t="shared" si="3"/>
        <v>1</v>
      </c>
      <c r="V26" s="175"/>
      <c r="W26" s="175" t="str">
        <f t="shared" si="10"/>
        <v/>
      </c>
      <c r="X26" s="176">
        <f t="shared" si="11"/>
        <v>1.5</v>
      </c>
      <c r="Y26" s="176">
        <f t="shared" si="4"/>
        <v>1.5</v>
      </c>
      <c r="Z26" s="176">
        <f t="shared" si="12"/>
        <v>2</v>
      </c>
      <c r="AA26" s="177">
        <v>0.5</v>
      </c>
      <c r="AB26" s="23"/>
      <c r="AC26" s="22"/>
    </row>
    <row r="27" spans="1:29" s="180" customFormat="1" ht="45" customHeight="1" x14ac:dyDescent="0.35">
      <c r="A27" s="171" t="str">
        <f>'Prise Mesures '!A11</f>
        <v>D1</v>
      </c>
      <c r="B27" s="479" t="str">
        <f>'Prise Mesures '!B11</f>
        <v>Encolure sur la manche raglan / Neckline on the raglan sleeve</v>
      </c>
      <c r="C27" s="479"/>
      <c r="D27" s="479"/>
      <c r="E27" s="479"/>
      <c r="F27" s="178"/>
      <c r="G27" s="24"/>
      <c r="H27" s="24" t="str">
        <f t="shared" si="5"/>
        <v/>
      </c>
      <c r="I27" s="26">
        <f>'[2]Prise Mesures '!C11</f>
        <v>0</v>
      </c>
      <c r="J27" s="171" t="str">
        <f>'[2]Prise Mesures '!A11</f>
        <v>D1</v>
      </c>
      <c r="K27" s="479" t="str">
        <f t="shared" si="2"/>
        <v>Encolure sur la manche raglan / Neckline on the raglan sleeve</v>
      </c>
      <c r="L27" s="479"/>
      <c r="M27" s="479"/>
      <c r="N27" s="479"/>
      <c r="O27" s="172">
        <f t="shared" si="1"/>
        <v>0</v>
      </c>
      <c r="P27" s="173"/>
      <c r="Q27" s="174">
        <f t="shared" si="7"/>
        <v>0</v>
      </c>
      <c r="R27" s="175"/>
      <c r="S27" s="175" t="str">
        <f t="shared" si="8"/>
        <v/>
      </c>
      <c r="T27" s="176"/>
      <c r="U27" s="176"/>
      <c r="V27" s="175"/>
      <c r="W27" s="175" t="str">
        <f t="shared" si="10"/>
        <v/>
      </c>
      <c r="X27" s="176" t="e">
        <f t="shared" si="11"/>
        <v>#VALUE!</v>
      </c>
      <c r="Y27" s="176"/>
      <c r="Z27" s="176" t="e">
        <f t="shared" si="12"/>
        <v>#VALUE!</v>
      </c>
      <c r="AA27" s="177" t="s">
        <v>167</v>
      </c>
      <c r="AB27" s="27"/>
      <c r="AC27" s="179"/>
    </row>
    <row r="28" spans="1:29" s="21" customFormat="1" ht="45" customHeight="1" x14ac:dyDescent="0.35">
      <c r="A28" s="171" t="str">
        <f>'Prise Mesures '!A12</f>
        <v>E</v>
      </c>
      <c r="B28" s="479" t="str">
        <f>'Prise Mesures '!B12</f>
        <v>Carrure dos (12 cm de l'encolure milieu dos) / Back cross-front (12 cm from middle back neckline)</v>
      </c>
      <c r="C28" s="479"/>
      <c r="D28" s="479"/>
      <c r="E28" s="479"/>
      <c r="F28" s="178"/>
      <c r="G28" s="24"/>
      <c r="H28" s="24" t="str">
        <f t="shared" si="5"/>
        <v/>
      </c>
      <c r="I28" s="26">
        <f>'[2]Prise Mesures '!C12</f>
        <v>0.5</v>
      </c>
      <c r="J28" s="171" t="str">
        <f>'[2]Prise Mesures '!A12</f>
        <v>E</v>
      </c>
      <c r="K28" s="479" t="str">
        <f t="shared" si="2"/>
        <v>Carrure dos (12 cm de l'encolure milieu dos) / Back cross-front (12 cm from middle back neckline)</v>
      </c>
      <c r="L28" s="479"/>
      <c r="M28" s="479"/>
      <c r="N28" s="479"/>
      <c r="O28" s="172">
        <f t="shared" si="1"/>
        <v>0.5</v>
      </c>
      <c r="P28" s="173">
        <f t="shared" si="6"/>
        <v>-1.5</v>
      </c>
      <c r="Q28" s="174">
        <f t="shared" si="7"/>
        <v>0</v>
      </c>
      <c r="R28" s="175"/>
      <c r="S28" s="175" t="str">
        <f t="shared" si="8"/>
        <v/>
      </c>
      <c r="T28" s="176">
        <f t="shared" si="9"/>
        <v>1.5</v>
      </c>
      <c r="U28" s="176">
        <f t="shared" si="3"/>
        <v>3</v>
      </c>
      <c r="V28" s="175"/>
      <c r="W28" s="175" t="str">
        <f t="shared" si="10"/>
        <v/>
      </c>
      <c r="X28" s="176">
        <f t="shared" si="11"/>
        <v>4.5</v>
      </c>
      <c r="Y28" s="176">
        <f t="shared" si="4"/>
        <v>4.5</v>
      </c>
      <c r="Z28" s="176">
        <f t="shared" si="12"/>
        <v>6</v>
      </c>
      <c r="AA28" s="177">
        <v>1.5</v>
      </c>
      <c r="AB28" s="27"/>
      <c r="AC28" s="22"/>
    </row>
    <row r="29" spans="1:29" s="21" customFormat="1" ht="45" customHeight="1" x14ac:dyDescent="0.35">
      <c r="A29" s="171" t="str">
        <f>'Prise Mesures '!A13</f>
        <v>F</v>
      </c>
      <c r="B29" s="479" t="str">
        <f>'Prise Mesures '!B13</f>
        <v>Carrure devant (13cm de la pointe encolure) / Front cross-front (13 cm from neck point)</v>
      </c>
      <c r="C29" s="479"/>
      <c r="D29" s="479"/>
      <c r="E29" s="479"/>
      <c r="F29" s="178"/>
      <c r="G29" s="24"/>
      <c r="H29" s="24" t="str">
        <f t="shared" si="5"/>
        <v/>
      </c>
      <c r="I29" s="26" t="str">
        <f>'[2]Prise Mesures '!C13</f>
        <v>0,5</v>
      </c>
      <c r="J29" s="171" t="str">
        <f>'[2]Prise Mesures '!A13</f>
        <v>F</v>
      </c>
      <c r="K29" s="479" t="str">
        <f t="shared" si="2"/>
        <v>Carrure devant (13cm de la pointe encolure) / Front cross-front (13 cm from neck point)</v>
      </c>
      <c r="L29" s="479"/>
      <c r="M29" s="479"/>
      <c r="N29" s="479"/>
      <c r="O29" s="172" t="str">
        <f t="shared" si="1"/>
        <v>0,5</v>
      </c>
      <c r="P29" s="173">
        <f t="shared" si="6"/>
        <v>-1.5</v>
      </c>
      <c r="Q29" s="174">
        <f t="shared" si="7"/>
        <v>0</v>
      </c>
      <c r="R29" s="175"/>
      <c r="S29" s="175" t="str">
        <f t="shared" si="8"/>
        <v/>
      </c>
      <c r="T29" s="176">
        <f t="shared" si="9"/>
        <v>1.5</v>
      </c>
      <c r="U29" s="176">
        <f t="shared" si="3"/>
        <v>3</v>
      </c>
      <c r="V29" s="175"/>
      <c r="W29" s="175" t="str">
        <f t="shared" si="10"/>
        <v/>
      </c>
      <c r="X29" s="176">
        <f t="shared" si="11"/>
        <v>4.5</v>
      </c>
      <c r="Y29" s="176">
        <f t="shared" si="4"/>
        <v>4.5</v>
      </c>
      <c r="Z29" s="176">
        <f t="shared" si="12"/>
        <v>6</v>
      </c>
      <c r="AA29" s="177">
        <v>1.5</v>
      </c>
      <c r="AB29" s="27"/>
      <c r="AC29" s="22"/>
    </row>
    <row r="30" spans="1:29" s="21" customFormat="1" ht="45" customHeight="1" x14ac:dyDescent="0.35">
      <c r="A30" s="171" t="str">
        <f>'Prise Mesures '!A14</f>
        <v>G</v>
      </c>
      <c r="B30" s="479" t="str">
        <f>'Prise Mesures '!B14</f>
        <v>Carrure épaule à épaule / Shoulder to shoulder cross-front</v>
      </c>
      <c r="C30" s="479"/>
      <c r="D30" s="479"/>
      <c r="E30" s="479"/>
      <c r="F30" s="178"/>
      <c r="G30" s="24"/>
      <c r="H30" s="24" t="str">
        <f t="shared" si="5"/>
        <v/>
      </c>
      <c r="I30" s="26">
        <f>'[2]Prise Mesures '!C14</f>
        <v>0.5</v>
      </c>
      <c r="J30" s="171" t="str">
        <f>'[2]Prise Mesures '!A14</f>
        <v>G</v>
      </c>
      <c r="K30" s="479" t="str">
        <f t="shared" si="2"/>
        <v>Carrure épaule à épaule / Shoulder to shoulder cross-front</v>
      </c>
      <c r="L30" s="479"/>
      <c r="M30" s="479"/>
      <c r="N30" s="479"/>
      <c r="O30" s="172">
        <f t="shared" si="1"/>
        <v>0.5</v>
      </c>
      <c r="P30" s="173">
        <f t="shared" si="6"/>
        <v>-1.5</v>
      </c>
      <c r="Q30" s="174">
        <f t="shared" si="7"/>
        <v>0</v>
      </c>
      <c r="R30" s="175"/>
      <c r="S30" s="175" t="str">
        <f t="shared" si="8"/>
        <v/>
      </c>
      <c r="T30" s="176">
        <f t="shared" si="9"/>
        <v>1.5</v>
      </c>
      <c r="U30" s="176">
        <f t="shared" si="3"/>
        <v>3</v>
      </c>
      <c r="V30" s="175"/>
      <c r="W30" s="175" t="str">
        <f t="shared" si="10"/>
        <v/>
      </c>
      <c r="X30" s="176">
        <f t="shared" si="11"/>
        <v>4.5</v>
      </c>
      <c r="Y30" s="176">
        <f t="shared" si="4"/>
        <v>4.5</v>
      </c>
      <c r="Z30" s="176">
        <f t="shared" si="12"/>
        <v>6</v>
      </c>
      <c r="AA30" s="177">
        <v>1.5</v>
      </c>
      <c r="AB30" s="27"/>
      <c r="AC30" s="22"/>
    </row>
    <row r="31" spans="1:29" s="21" customFormat="1" ht="45" customHeight="1" x14ac:dyDescent="0.35">
      <c r="A31" s="171" t="str">
        <f>'Prise Mesures '!A15</f>
        <v>H</v>
      </c>
      <c r="B31" s="479" t="str">
        <f>'Prise Mesures '!B15</f>
        <v>Longueur épaule / Shoulder length</v>
      </c>
      <c r="C31" s="479"/>
      <c r="D31" s="479"/>
      <c r="E31" s="479"/>
      <c r="F31" s="25"/>
      <c r="G31" s="24"/>
      <c r="H31" s="24" t="str">
        <f>IF(ISBLANK(G31),"",G31-F31)</f>
        <v/>
      </c>
      <c r="I31" s="26">
        <f>'[2]Prise Mesures '!C15</f>
        <v>0.2</v>
      </c>
      <c r="J31" s="171" t="str">
        <f>'[2]Prise Mesures '!A15</f>
        <v>H</v>
      </c>
      <c r="K31" s="479" t="str">
        <f t="shared" si="2"/>
        <v>Longueur épaule / Shoulder length</v>
      </c>
      <c r="L31" s="479"/>
      <c r="M31" s="479"/>
      <c r="N31" s="479"/>
      <c r="O31" s="172">
        <f t="shared" si="1"/>
        <v>0.2</v>
      </c>
      <c r="P31" s="173">
        <f t="shared" si="6"/>
        <v>-0.375</v>
      </c>
      <c r="Q31" s="174">
        <f t="shared" si="7"/>
        <v>0</v>
      </c>
      <c r="R31" s="175"/>
      <c r="S31" s="175" t="str">
        <f t="shared" si="8"/>
        <v/>
      </c>
      <c r="T31" s="176">
        <f t="shared" si="9"/>
        <v>0.375</v>
      </c>
      <c r="U31" s="176">
        <f t="shared" si="3"/>
        <v>0.75</v>
      </c>
      <c r="V31" s="175"/>
      <c r="W31" s="175" t="str">
        <f t="shared" si="10"/>
        <v/>
      </c>
      <c r="X31" s="176">
        <f t="shared" si="11"/>
        <v>1.125</v>
      </c>
      <c r="Y31" s="176">
        <f t="shared" si="4"/>
        <v>1.125</v>
      </c>
      <c r="Z31" s="176">
        <f t="shared" si="12"/>
        <v>1.5</v>
      </c>
      <c r="AA31" s="177">
        <v>0.375</v>
      </c>
      <c r="AB31" s="23"/>
      <c r="AC31" s="22"/>
    </row>
    <row r="32" spans="1:29" s="21" customFormat="1" ht="45" customHeight="1" x14ac:dyDescent="0.35">
      <c r="A32" s="171" t="str">
        <f>'Prise Mesures '!A16</f>
        <v>I</v>
      </c>
      <c r="B32" s="479" t="str">
        <f>'Prise Mesures '!B16</f>
        <v>Longueur manche sans le poignet / Sleeve length without cuff</v>
      </c>
      <c r="C32" s="479"/>
      <c r="D32" s="479"/>
      <c r="E32" s="479"/>
      <c r="F32" s="178"/>
      <c r="G32" s="24"/>
      <c r="H32" s="24"/>
      <c r="I32" s="26">
        <f>'[2]Prise Mesures '!C16</f>
        <v>0.5</v>
      </c>
      <c r="J32" s="171" t="str">
        <f>'[2]Prise Mesures '!A16</f>
        <v>I</v>
      </c>
      <c r="K32" s="479" t="str">
        <f t="shared" si="2"/>
        <v>Longueur manche sans le poignet / Sleeve length without cuff</v>
      </c>
      <c r="L32" s="479"/>
      <c r="M32" s="479"/>
      <c r="N32" s="479"/>
      <c r="O32" s="172">
        <f t="shared" si="1"/>
        <v>0.5</v>
      </c>
      <c r="P32" s="173">
        <f t="shared" si="6"/>
        <v>-0.75</v>
      </c>
      <c r="Q32" s="174">
        <f t="shared" si="7"/>
        <v>0</v>
      </c>
      <c r="R32" s="175"/>
      <c r="S32" s="175" t="str">
        <f t="shared" si="8"/>
        <v/>
      </c>
      <c r="T32" s="176">
        <f t="shared" si="9"/>
        <v>0.75</v>
      </c>
      <c r="U32" s="176">
        <f t="shared" si="3"/>
        <v>1.5</v>
      </c>
      <c r="V32" s="175"/>
      <c r="W32" s="175" t="str">
        <f t="shared" si="10"/>
        <v/>
      </c>
      <c r="X32" s="176">
        <f t="shared" si="11"/>
        <v>2.25</v>
      </c>
      <c r="Y32" s="176">
        <f t="shared" si="4"/>
        <v>2.25</v>
      </c>
      <c r="Z32" s="176">
        <f t="shared" si="12"/>
        <v>3</v>
      </c>
      <c r="AA32" s="177">
        <v>0.75</v>
      </c>
      <c r="AB32" s="27"/>
      <c r="AC32" s="22"/>
    </row>
    <row r="33" spans="1:29" s="21" customFormat="1" ht="45" customHeight="1" x14ac:dyDescent="0.35">
      <c r="A33" s="171" t="str">
        <f>'Prise Mesures '!A17</f>
        <v>J</v>
      </c>
      <c r="B33" s="479" t="str">
        <f>'Prise Mesures '!B17</f>
        <v>Longueur emmanchure devant / Front armhole length</v>
      </c>
      <c r="C33" s="479"/>
      <c r="D33" s="479"/>
      <c r="E33" s="479"/>
      <c r="F33" s="178"/>
      <c r="G33" s="24"/>
      <c r="H33" s="24"/>
      <c r="I33" s="26">
        <f>'[2]Prise Mesures '!C17</f>
        <v>0.2</v>
      </c>
      <c r="J33" s="171" t="str">
        <f>'[2]Prise Mesures '!A17</f>
        <v>J</v>
      </c>
      <c r="K33" s="479" t="str">
        <f t="shared" si="2"/>
        <v>Longueur emmanchure devant / Front armhole length</v>
      </c>
      <c r="L33" s="479"/>
      <c r="M33" s="479"/>
      <c r="N33" s="479"/>
      <c r="O33" s="172">
        <f t="shared" si="1"/>
        <v>0.2</v>
      </c>
      <c r="P33" s="173">
        <f t="shared" si="6"/>
        <v>-1.2</v>
      </c>
      <c r="Q33" s="174">
        <f t="shared" si="7"/>
        <v>0</v>
      </c>
      <c r="R33" s="175"/>
      <c r="S33" s="175" t="str">
        <f t="shared" si="8"/>
        <v/>
      </c>
      <c r="T33" s="176">
        <f t="shared" si="9"/>
        <v>1.2</v>
      </c>
      <c r="U33" s="176">
        <f t="shared" si="3"/>
        <v>2.4</v>
      </c>
      <c r="V33" s="175"/>
      <c r="W33" s="175" t="str">
        <f t="shared" si="10"/>
        <v/>
      </c>
      <c r="X33" s="176">
        <f t="shared" si="11"/>
        <v>3.5999999999999996</v>
      </c>
      <c r="Y33" s="176">
        <f t="shared" si="4"/>
        <v>3.5999999999999996</v>
      </c>
      <c r="Z33" s="176">
        <f t="shared" si="12"/>
        <v>4.8</v>
      </c>
      <c r="AA33" s="177">
        <v>1.2</v>
      </c>
      <c r="AB33" s="27"/>
      <c r="AC33" s="22"/>
    </row>
    <row r="34" spans="1:29" s="21" customFormat="1" ht="45" customHeight="1" x14ac:dyDescent="0.35">
      <c r="A34" s="171" t="str">
        <f>'Prise Mesures '!A18</f>
        <v>K</v>
      </c>
      <c r="B34" s="479" t="str">
        <f>'Prise Mesures '!B18</f>
        <v>Longueur emmanchure dos / Back armhole length</v>
      </c>
      <c r="C34" s="479"/>
      <c r="D34" s="479"/>
      <c r="E34" s="479"/>
      <c r="F34" s="178"/>
      <c r="G34" s="24"/>
      <c r="H34" s="24"/>
      <c r="I34" s="26">
        <f>'[2]Prise Mesures '!C18</f>
        <v>0.2</v>
      </c>
      <c r="J34" s="171" t="str">
        <f>'[2]Prise Mesures '!A18</f>
        <v>K</v>
      </c>
      <c r="K34" s="479" t="str">
        <f t="shared" si="2"/>
        <v>Longueur emmanchure dos / Back armhole length</v>
      </c>
      <c r="L34" s="479"/>
      <c r="M34" s="479"/>
      <c r="N34" s="479"/>
      <c r="O34" s="172">
        <f t="shared" si="1"/>
        <v>0.2</v>
      </c>
      <c r="P34" s="173">
        <f t="shared" si="6"/>
        <v>-1.2</v>
      </c>
      <c r="Q34" s="174">
        <f t="shared" si="7"/>
        <v>0</v>
      </c>
      <c r="R34" s="175"/>
      <c r="S34" s="175" t="str">
        <f t="shared" si="8"/>
        <v/>
      </c>
      <c r="T34" s="176">
        <f t="shared" si="9"/>
        <v>1.2</v>
      </c>
      <c r="U34" s="176">
        <f t="shared" si="3"/>
        <v>2.4</v>
      </c>
      <c r="V34" s="175"/>
      <c r="W34" s="175" t="str">
        <f t="shared" si="10"/>
        <v/>
      </c>
      <c r="X34" s="176">
        <f t="shared" si="11"/>
        <v>3.5999999999999996</v>
      </c>
      <c r="Y34" s="176">
        <f t="shared" si="4"/>
        <v>3.5999999999999996</v>
      </c>
      <c r="Z34" s="176">
        <f t="shared" si="12"/>
        <v>4.8</v>
      </c>
      <c r="AA34" s="177">
        <v>1.2</v>
      </c>
      <c r="AB34" s="27"/>
      <c r="AC34" s="22"/>
    </row>
    <row r="35" spans="1:29" s="21" customFormat="1" ht="45" customHeight="1" x14ac:dyDescent="0.35">
      <c r="A35" s="171" t="str">
        <f>'Prise Mesures '!A19</f>
        <v>L</v>
      </c>
      <c r="B35" s="479" t="str">
        <f>'Prise Mesures '!B19</f>
        <v xml:space="preserve">1/2 largeur bras / 1/2 arm width </v>
      </c>
      <c r="C35" s="479"/>
      <c r="D35" s="479"/>
      <c r="E35" s="479"/>
      <c r="F35" s="178"/>
      <c r="G35" s="24"/>
      <c r="H35" s="24" t="str">
        <f t="shared" si="5"/>
        <v/>
      </c>
      <c r="I35" s="26">
        <f>'[2]Prise Mesures '!C19</f>
        <v>0.5</v>
      </c>
      <c r="J35" s="171" t="str">
        <f>'[2]Prise Mesures '!A19</f>
        <v>L</v>
      </c>
      <c r="K35" s="479" t="str">
        <f t="shared" si="2"/>
        <v xml:space="preserve">1/2 largeur bras / 1/2 arm width </v>
      </c>
      <c r="L35" s="479"/>
      <c r="M35" s="479"/>
      <c r="N35" s="479"/>
      <c r="O35" s="172">
        <f t="shared" si="1"/>
        <v>0.5</v>
      </c>
      <c r="P35" s="173">
        <f t="shared" si="6"/>
        <v>-0.9</v>
      </c>
      <c r="Q35" s="174">
        <f t="shared" si="7"/>
        <v>0</v>
      </c>
      <c r="R35" s="175"/>
      <c r="S35" s="175" t="str">
        <f t="shared" si="8"/>
        <v/>
      </c>
      <c r="T35" s="176">
        <f t="shared" si="9"/>
        <v>0.9</v>
      </c>
      <c r="U35" s="176">
        <f t="shared" si="3"/>
        <v>1.8</v>
      </c>
      <c r="V35" s="175"/>
      <c r="W35" s="175" t="str">
        <f t="shared" si="10"/>
        <v/>
      </c>
      <c r="X35" s="176">
        <f t="shared" si="11"/>
        <v>2.7</v>
      </c>
      <c r="Y35" s="176">
        <f t="shared" si="4"/>
        <v>2.7</v>
      </c>
      <c r="Z35" s="176">
        <f t="shared" si="12"/>
        <v>3.6</v>
      </c>
      <c r="AA35" s="177">
        <v>0.9</v>
      </c>
      <c r="AB35" s="27"/>
      <c r="AC35" s="22"/>
    </row>
    <row r="36" spans="1:29" s="21" customFormat="1" ht="45" customHeight="1" x14ac:dyDescent="0.35">
      <c r="A36" s="171" t="str">
        <f>'Prise Mesures '!A20</f>
        <v>M</v>
      </c>
      <c r="B36" s="479" t="str">
        <f>'Prise Mesures '!B20</f>
        <v xml:space="preserve">1/2 bas de manche / 1/2 bottom sleeve width </v>
      </c>
      <c r="C36" s="479"/>
      <c r="D36" s="479"/>
      <c r="E36" s="479"/>
      <c r="F36" s="178"/>
      <c r="G36" s="24"/>
      <c r="H36" s="24" t="str">
        <f t="shared" si="5"/>
        <v/>
      </c>
      <c r="I36" s="26">
        <f>'[2]Prise Mesures '!C20</f>
        <v>0.5</v>
      </c>
      <c r="J36" s="171" t="str">
        <f>'[2]Prise Mesures '!A20</f>
        <v>M</v>
      </c>
      <c r="K36" s="479" t="str">
        <f t="shared" si="2"/>
        <v xml:space="preserve">1/2 bas de manche / 1/2 bottom sleeve width </v>
      </c>
      <c r="L36" s="479"/>
      <c r="M36" s="479"/>
      <c r="N36" s="479"/>
      <c r="O36" s="172">
        <f t="shared" si="1"/>
        <v>0.5</v>
      </c>
      <c r="P36" s="173">
        <f t="shared" si="6"/>
        <v>-0.375</v>
      </c>
      <c r="Q36" s="174">
        <f t="shared" si="7"/>
        <v>0</v>
      </c>
      <c r="R36" s="175"/>
      <c r="S36" s="175" t="str">
        <f t="shared" si="8"/>
        <v/>
      </c>
      <c r="T36" s="176">
        <f t="shared" si="9"/>
        <v>0.375</v>
      </c>
      <c r="U36" s="176">
        <f t="shared" si="3"/>
        <v>0.75</v>
      </c>
      <c r="V36" s="175"/>
      <c r="W36" s="175" t="str">
        <f t="shared" si="10"/>
        <v/>
      </c>
      <c r="X36" s="176">
        <f t="shared" si="11"/>
        <v>1.125</v>
      </c>
      <c r="Y36" s="176">
        <f t="shared" si="4"/>
        <v>1.125</v>
      </c>
      <c r="Z36" s="176">
        <f t="shared" si="12"/>
        <v>1.5</v>
      </c>
      <c r="AA36" s="177">
        <v>0.375</v>
      </c>
      <c r="AB36" s="27"/>
      <c r="AC36" s="22"/>
    </row>
    <row r="37" spans="1:29" s="21" customFormat="1" ht="45" customHeight="1" x14ac:dyDescent="0.35">
      <c r="A37" s="171" t="str">
        <f>'Prise Mesures '!A21</f>
        <v>N</v>
      </c>
      <c r="B37" s="479" t="str">
        <f>'Prise Mesures '!B21</f>
        <v>Hauteur poignet / Cuff height</v>
      </c>
      <c r="C37" s="479"/>
      <c r="D37" s="479"/>
      <c r="E37" s="479"/>
      <c r="F37" s="178"/>
      <c r="G37" s="24"/>
      <c r="H37" s="24" t="str">
        <f t="shared" si="5"/>
        <v/>
      </c>
      <c r="I37" s="26">
        <f>'[2]Prise Mesures '!C21</f>
        <v>0</v>
      </c>
      <c r="J37" s="171" t="str">
        <f>'[2]Prise Mesures '!A21</f>
        <v>N</v>
      </c>
      <c r="K37" s="479" t="str">
        <f t="shared" si="2"/>
        <v>Hauteur poignet / Cuff height</v>
      </c>
      <c r="L37" s="479"/>
      <c r="M37" s="479"/>
      <c r="N37" s="479"/>
      <c r="O37" s="172">
        <f>I37</f>
        <v>0</v>
      </c>
      <c r="P37" s="173">
        <f>Q37-AA37</f>
        <v>0</v>
      </c>
      <c r="Q37" s="174">
        <f>$F37</f>
        <v>0</v>
      </c>
      <c r="R37" s="175"/>
      <c r="S37" s="175" t="str">
        <f>IF(ISBLANK($R37),"",($R37-$Q37))</f>
        <v/>
      </c>
      <c r="T37" s="176">
        <f>$Q37+$AA37</f>
        <v>0</v>
      </c>
      <c r="U37" s="176">
        <f>$T37+$AA37</f>
        <v>0</v>
      </c>
      <c r="V37" s="175"/>
      <c r="W37" s="175" t="str">
        <f>IF(ISBLANK($V37),"",($V37-$U37))</f>
        <v/>
      </c>
      <c r="X37" s="176">
        <f>$U37+$AA37</f>
        <v>0</v>
      </c>
      <c r="Y37" s="176">
        <f>$U37+$AA37</f>
        <v>0</v>
      </c>
      <c r="Z37" s="176">
        <f>$Y37+$AA37</f>
        <v>0</v>
      </c>
      <c r="AA37" s="177">
        <v>0</v>
      </c>
      <c r="AB37" s="27"/>
      <c r="AC37" s="22"/>
    </row>
    <row r="38" spans="1:29" s="21" customFormat="1" ht="45" customHeight="1" x14ac:dyDescent="0.35">
      <c r="A38" s="171" t="str">
        <f>'Prise Mesures '!A22</f>
        <v>O</v>
      </c>
      <c r="B38" s="479" t="str">
        <f>'Prise Mesures '!B22</f>
        <v>Longueur milieu dos / Middle back length</v>
      </c>
      <c r="C38" s="479"/>
      <c r="D38" s="479"/>
      <c r="E38" s="479"/>
      <c r="F38" s="178"/>
      <c r="G38" s="24"/>
      <c r="H38" s="24"/>
      <c r="I38" s="26">
        <f>'[2]Prise Mesures '!C22</f>
        <v>1</v>
      </c>
      <c r="J38" s="171" t="str">
        <f>'[2]Prise Mesures '!A22</f>
        <v>O</v>
      </c>
      <c r="K38" s="479" t="str">
        <f t="shared" si="2"/>
        <v>Longueur milieu dos / Middle back length</v>
      </c>
      <c r="L38" s="479"/>
      <c r="M38" s="479"/>
      <c r="N38" s="479"/>
      <c r="O38" s="172">
        <f>I38</f>
        <v>1</v>
      </c>
      <c r="P38" s="173">
        <f>Q38-AA38</f>
        <v>-0.75</v>
      </c>
      <c r="Q38" s="174">
        <f>$F38</f>
        <v>0</v>
      </c>
      <c r="R38" s="175"/>
      <c r="S38" s="175" t="str">
        <f>IF(ISBLANK($R38),"",($R38-$Q38))</f>
        <v/>
      </c>
      <c r="T38" s="176">
        <f>$Q38+$AA38</f>
        <v>0.75</v>
      </c>
      <c r="U38" s="176">
        <f>$T38+$AA38</f>
        <v>1.5</v>
      </c>
      <c r="V38" s="175"/>
      <c r="W38" s="175" t="str">
        <f>IF(ISBLANK($V38),"",($V38-$U38))</f>
        <v/>
      </c>
      <c r="X38" s="176">
        <f>$U38+$AA38</f>
        <v>2.25</v>
      </c>
      <c r="Y38" s="176">
        <f>$U38+$AA38</f>
        <v>2.25</v>
      </c>
      <c r="Z38" s="176">
        <f>$Y38+$AA38</f>
        <v>3</v>
      </c>
      <c r="AA38" s="177">
        <v>0.75</v>
      </c>
      <c r="AB38" s="27"/>
      <c r="AC38" s="22"/>
    </row>
    <row r="39" spans="1:29" s="180" customFormat="1" ht="45" customHeight="1" x14ac:dyDescent="0.35">
      <c r="A39" s="171" t="str">
        <f>'Prise Mesures '!A23</f>
        <v>P1</v>
      </c>
      <c r="B39" s="479" t="str">
        <f>'Prise Mesures '!B23</f>
        <v>Longueur milieu devant / Middle front length</v>
      </c>
      <c r="C39" s="479"/>
      <c r="D39" s="479"/>
      <c r="E39" s="479"/>
      <c r="F39" s="178"/>
      <c r="G39" s="24"/>
      <c r="H39" s="24" t="str">
        <f t="shared" si="5"/>
        <v/>
      </c>
      <c r="I39" s="26">
        <f>'[2]Prise Mesures '!C23</f>
        <v>1</v>
      </c>
      <c r="J39" s="171" t="str">
        <f>'[2]Prise Mesures '!A23</f>
        <v>P</v>
      </c>
      <c r="K39" s="479" t="str">
        <f t="shared" si="2"/>
        <v>Longueur milieu devant / Middle front length</v>
      </c>
      <c r="L39" s="479"/>
      <c r="M39" s="479"/>
      <c r="N39" s="479"/>
      <c r="O39" s="172">
        <f t="shared" si="1"/>
        <v>1</v>
      </c>
      <c r="P39" s="173">
        <f t="shared" si="6"/>
        <v>-0.75</v>
      </c>
      <c r="Q39" s="174">
        <f t="shared" si="7"/>
        <v>0</v>
      </c>
      <c r="R39" s="175"/>
      <c r="S39" s="175" t="str">
        <f t="shared" si="8"/>
        <v/>
      </c>
      <c r="T39" s="176">
        <f t="shared" si="9"/>
        <v>0.75</v>
      </c>
      <c r="U39" s="176">
        <f t="shared" si="3"/>
        <v>1.5</v>
      </c>
      <c r="V39" s="175"/>
      <c r="W39" s="175" t="str">
        <f t="shared" si="10"/>
        <v/>
      </c>
      <c r="X39" s="176">
        <f t="shared" si="11"/>
        <v>2.25</v>
      </c>
      <c r="Y39" s="176">
        <f t="shared" si="4"/>
        <v>2.25</v>
      </c>
      <c r="Z39" s="176">
        <f t="shared" si="12"/>
        <v>3</v>
      </c>
      <c r="AA39" s="177">
        <v>0.75</v>
      </c>
      <c r="AB39" s="27"/>
      <c r="AC39" s="22"/>
    </row>
    <row r="40" spans="1:29" s="180" customFormat="1" ht="45" customHeight="1" x14ac:dyDescent="0.35">
      <c r="A40" s="171" t="str">
        <f>'Prise Mesures '!A24</f>
        <v>Q</v>
      </c>
      <c r="B40" s="479" t="str">
        <f>'Prise Mesures '!B24</f>
        <v>1/2 envergure / 1/2 wingspan</v>
      </c>
      <c r="C40" s="479"/>
      <c r="D40" s="479"/>
      <c r="E40" s="479"/>
      <c r="F40" s="178"/>
      <c r="G40" s="24"/>
      <c r="H40" s="24" t="str">
        <f t="shared" si="5"/>
        <v/>
      </c>
      <c r="I40" s="26">
        <f>'[2]Prise Mesures '!C24</f>
        <v>1</v>
      </c>
      <c r="J40" s="171" t="str">
        <f>'[2]Prise Mesures '!A24</f>
        <v>Q</v>
      </c>
      <c r="K40" s="479" t="str">
        <f t="shared" si="2"/>
        <v>1/2 envergure / 1/2 wingspan</v>
      </c>
      <c r="L40" s="479"/>
      <c r="M40" s="479"/>
      <c r="N40" s="479"/>
      <c r="O40" s="172">
        <f t="shared" si="1"/>
        <v>1</v>
      </c>
      <c r="P40" s="173">
        <f t="shared" si="6"/>
        <v>-1.5</v>
      </c>
      <c r="Q40" s="174">
        <f t="shared" si="7"/>
        <v>0</v>
      </c>
      <c r="R40" s="175"/>
      <c r="S40" s="175" t="str">
        <f t="shared" si="8"/>
        <v/>
      </c>
      <c r="T40" s="176">
        <f t="shared" si="9"/>
        <v>1.5</v>
      </c>
      <c r="U40" s="176">
        <f t="shared" si="3"/>
        <v>3</v>
      </c>
      <c r="V40" s="175"/>
      <c r="W40" s="175" t="str">
        <f t="shared" si="10"/>
        <v/>
      </c>
      <c r="X40" s="176">
        <f t="shared" si="11"/>
        <v>4.5</v>
      </c>
      <c r="Y40" s="176">
        <f t="shared" si="4"/>
        <v>4.5</v>
      </c>
      <c r="Z40" s="176">
        <f t="shared" si="12"/>
        <v>6</v>
      </c>
      <c r="AA40" s="177">
        <v>1.5</v>
      </c>
      <c r="AB40" s="27"/>
      <c r="AC40" s="22"/>
    </row>
    <row r="41" spans="1:29" s="180" customFormat="1" ht="45" customHeight="1" x14ac:dyDescent="0.35">
      <c r="A41" s="171" t="str">
        <f>'Prise Mesures '!A25</f>
        <v>R</v>
      </c>
      <c r="B41" s="479" t="str">
        <f>'Prise Mesures '!B25</f>
        <v xml:space="preserve">Longueur bord col / Collar edge length </v>
      </c>
      <c r="C41" s="479"/>
      <c r="D41" s="479"/>
      <c r="E41" s="479"/>
      <c r="F41" s="178"/>
      <c r="G41" s="24"/>
      <c r="H41" s="24" t="str">
        <f t="shared" si="5"/>
        <v/>
      </c>
      <c r="I41" s="26">
        <f>'[2]Prise Mesures '!C25</f>
        <v>0.5</v>
      </c>
      <c r="J41" s="171" t="str">
        <f>'[2]Prise Mesures '!A25</f>
        <v>R</v>
      </c>
      <c r="K41" s="479" t="str">
        <f t="shared" si="2"/>
        <v xml:space="preserve">Longueur bord col / Collar edge length </v>
      </c>
      <c r="L41" s="479"/>
      <c r="M41" s="479"/>
      <c r="N41" s="479"/>
      <c r="O41" s="172">
        <f t="shared" si="1"/>
        <v>0.5</v>
      </c>
      <c r="P41" s="173">
        <f t="shared" si="6"/>
        <v>-1.8</v>
      </c>
      <c r="Q41" s="174">
        <f t="shared" si="7"/>
        <v>0</v>
      </c>
      <c r="R41" s="175"/>
      <c r="S41" s="175" t="str">
        <f t="shared" si="8"/>
        <v/>
      </c>
      <c r="T41" s="176">
        <f t="shared" si="9"/>
        <v>1.8</v>
      </c>
      <c r="U41" s="176">
        <f t="shared" si="3"/>
        <v>3.6</v>
      </c>
      <c r="V41" s="175"/>
      <c r="W41" s="175" t="str">
        <f t="shared" si="10"/>
        <v/>
      </c>
      <c r="X41" s="176">
        <f t="shared" si="11"/>
        <v>5.4</v>
      </c>
      <c r="Y41" s="176">
        <f t="shared" si="4"/>
        <v>5.4</v>
      </c>
      <c r="Z41" s="176">
        <f t="shared" si="12"/>
        <v>7.2</v>
      </c>
      <c r="AA41" s="177">
        <v>1.8</v>
      </c>
      <c r="AB41" s="27"/>
      <c r="AC41" s="22"/>
    </row>
    <row r="42" spans="1:29" s="180" customFormat="1" ht="45" customHeight="1" thickBot="1" x14ac:dyDescent="0.4">
      <c r="A42" s="171" t="str">
        <f>'Prise Mesures '!A26</f>
        <v>S</v>
      </c>
      <c r="B42" s="479" t="str">
        <f>'Prise Mesures '!B26</f>
        <v>Hauteur fente / Slit length</v>
      </c>
      <c r="C42" s="479"/>
      <c r="D42" s="479"/>
      <c r="E42" s="479"/>
      <c r="F42" s="178"/>
      <c r="G42" s="24"/>
      <c r="H42" s="24" t="str">
        <f t="shared" si="5"/>
        <v/>
      </c>
      <c r="I42" s="26">
        <f>'[2]Prise Mesures '!C26</f>
        <v>0</v>
      </c>
      <c r="J42" s="171" t="str">
        <f>'[2]Prise Mesures '!A26</f>
        <v>S</v>
      </c>
      <c r="K42" s="479" t="str">
        <f t="shared" si="2"/>
        <v>Hauteur fente / Slit length</v>
      </c>
      <c r="L42" s="479"/>
      <c r="M42" s="479"/>
      <c r="N42" s="479"/>
      <c r="O42" s="172">
        <f t="shared" si="1"/>
        <v>0</v>
      </c>
      <c r="P42" s="173">
        <f t="shared" si="6"/>
        <v>0</v>
      </c>
      <c r="Q42" s="174">
        <f t="shared" si="7"/>
        <v>0</v>
      </c>
      <c r="R42" s="175"/>
      <c r="S42" s="175" t="str">
        <f t="shared" si="8"/>
        <v/>
      </c>
      <c r="T42" s="176">
        <f t="shared" si="9"/>
        <v>0</v>
      </c>
      <c r="U42" s="176">
        <f t="shared" si="3"/>
        <v>0</v>
      </c>
      <c r="V42" s="175"/>
      <c r="W42" s="175" t="str">
        <f t="shared" si="10"/>
        <v/>
      </c>
      <c r="X42" s="176">
        <f t="shared" si="11"/>
        <v>0</v>
      </c>
      <c r="Y42" s="176">
        <f t="shared" si="4"/>
        <v>0</v>
      </c>
      <c r="Z42" s="176">
        <f t="shared" si="12"/>
        <v>0</v>
      </c>
      <c r="AA42" s="177">
        <v>0</v>
      </c>
      <c r="AB42" s="27"/>
      <c r="AC42" s="22"/>
    </row>
    <row r="43" spans="1:29" ht="15" customHeight="1" x14ac:dyDescent="0.2">
      <c r="A43" s="481" t="s">
        <v>31</v>
      </c>
      <c r="B43" s="482"/>
      <c r="C43" s="482"/>
      <c r="D43" s="482"/>
      <c r="E43" s="482"/>
      <c r="F43" s="482"/>
      <c r="G43" s="482"/>
      <c r="H43" s="482"/>
      <c r="I43" s="483"/>
      <c r="J43" s="481" t="s">
        <v>31</v>
      </c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3"/>
    </row>
    <row r="44" spans="1:29" ht="12.75" customHeight="1" x14ac:dyDescent="0.2">
      <c r="A44" s="279"/>
      <c r="B44" s="280"/>
      <c r="C44" s="280"/>
      <c r="D44" s="280"/>
      <c r="E44" s="280"/>
      <c r="F44" s="280"/>
      <c r="G44" s="280"/>
      <c r="H44" s="280"/>
      <c r="I44" s="281"/>
      <c r="J44" s="279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  <c r="AA44" s="281"/>
    </row>
    <row r="45" spans="1:29" ht="24" customHeight="1" thickBot="1" x14ac:dyDescent="0.25">
      <c r="A45" s="282"/>
      <c r="B45" s="283"/>
      <c r="C45" s="283"/>
      <c r="D45" s="283"/>
      <c r="E45" s="283"/>
      <c r="F45" s="283"/>
      <c r="G45" s="283"/>
      <c r="H45" s="283"/>
      <c r="I45" s="284"/>
      <c r="J45" s="282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84"/>
    </row>
    <row r="58" spans="5:5" ht="23.25" x14ac:dyDescent="0.2">
      <c r="E58" s="181"/>
    </row>
    <row r="59" spans="5:5" ht="23.25" x14ac:dyDescent="0.2">
      <c r="E59" s="181"/>
    </row>
  </sheetData>
  <mergeCells count="61">
    <mergeCell ref="A1:E1"/>
    <mergeCell ref="F1:I1"/>
    <mergeCell ref="J1:S1"/>
    <mergeCell ref="T1:AA1"/>
    <mergeCell ref="A2:I3"/>
    <mergeCell ref="J2:AA3"/>
    <mergeCell ref="B22:E22"/>
    <mergeCell ref="K22:N22"/>
    <mergeCell ref="A4:B5"/>
    <mergeCell ref="C4:E5"/>
    <mergeCell ref="F4:G5"/>
    <mergeCell ref="H4:I5"/>
    <mergeCell ref="J4:K5"/>
    <mergeCell ref="L4:O5"/>
    <mergeCell ref="P4:S5"/>
    <mergeCell ref="T4:V5"/>
    <mergeCell ref="W4:AA5"/>
    <mergeCell ref="A6:I21"/>
    <mergeCell ref="J6:AA21"/>
    <mergeCell ref="B23:E23"/>
    <mergeCell ref="K23:N23"/>
    <mergeCell ref="B24:E24"/>
    <mergeCell ref="K24:N24"/>
    <mergeCell ref="B25:E25"/>
    <mergeCell ref="K25:N25"/>
    <mergeCell ref="B26:E26"/>
    <mergeCell ref="K26:N26"/>
    <mergeCell ref="B27:E27"/>
    <mergeCell ref="K27:N27"/>
    <mergeCell ref="B28:E28"/>
    <mergeCell ref="K28:N28"/>
    <mergeCell ref="B29:E29"/>
    <mergeCell ref="K29:N29"/>
    <mergeCell ref="B30:E30"/>
    <mergeCell ref="K30:N30"/>
    <mergeCell ref="B31:E31"/>
    <mergeCell ref="K31:N31"/>
    <mergeCell ref="B32:E32"/>
    <mergeCell ref="K32:N32"/>
    <mergeCell ref="B33:E33"/>
    <mergeCell ref="K33:N33"/>
    <mergeCell ref="B34:E34"/>
    <mergeCell ref="K34:N34"/>
    <mergeCell ref="B35:E35"/>
    <mergeCell ref="K35:N35"/>
    <mergeCell ref="B36:E36"/>
    <mergeCell ref="K36:N36"/>
    <mergeCell ref="B37:E37"/>
    <mergeCell ref="K37:N37"/>
    <mergeCell ref="B38:E38"/>
    <mergeCell ref="K38:N38"/>
    <mergeCell ref="B39:E39"/>
    <mergeCell ref="K39:N39"/>
    <mergeCell ref="B40:E40"/>
    <mergeCell ref="K40:N40"/>
    <mergeCell ref="B41:E41"/>
    <mergeCell ref="K41:N41"/>
    <mergeCell ref="B42:E42"/>
    <mergeCell ref="K42:N42"/>
    <mergeCell ref="A43:I45"/>
    <mergeCell ref="J43:AA45"/>
  </mergeCells>
  <conditionalFormatting sqref="H23:H42">
    <cfRule type="expression" dxfId="4" priority="3" stopIfTrue="1">
      <formula>ABS(H23)&gt;I23</formula>
    </cfRule>
  </conditionalFormatting>
  <conditionalFormatting sqref="S23:S42">
    <cfRule type="expression" dxfId="3" priority="2" stopIfTrue="1">
      <formula>ABS(S23)&gt;L23</formula>
    </cfRule>
  </conditionalFormatting>
  <conditionalFormatting sqref="W23:W42">
    <cfRule type="expression" dxfId="2" priority="1" stopIfTrue="1">
      <formula>ABS(W23)&gt;O23</formula>
    </cfRule>
  </conditionalFormatting>
  <printOptions horizontalCentered="1"/>
  <pageMargins left="0.27559055118110237" right="0.27559055118110237" top="0.19685039370078741" bottom="0" header="0" footer="0"/>
  <pageSetup paperSize="9" scale="43" fitToWidth="0" orientation="portrait" r:id="rId1"/>
  <headerFooter alignWithMargins="0"/>
  <colBreaks count="1" manualBreakCount="1">
    <brk id="9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42A3-D17F-45C7-A30A-98A8445A9084}">
  <dimension ref="A1:X59"/>
  <sheetViews>
    <sheetView view="pageBreakPreview" topLeftCell="A21" zoomScale="55" zoomScaleNormal="55" zoomScaleSheetLayoutView="55" workbookViewId="0">
      <selection activeCell="G6" sqref="G6:L58"/>
    </sheetView>
  </sheetViews>
  <sheetFormatPr baseColWidth="10" defaultColWidth="11.42578125" defaultRowHeight="12.75" x14ac:dyDescent="0.2"/>
  <cols>
    <col min="1" max="1" width="10.28515625" style="20" customWidth="1"/>
    <col min="2" max="2" width="21.28515625" style="20" customWidth="1"/>
    <col min="3" max="3" width="35.85546875" style="20" customWidth="1"/>
    <col min="4" max="4" width="10.42578125" style="20" customWidth="1"/>
    <col min="5" max="5" width="64.28515625" style="20" customWidth="1"/>
    <col min="6" max="6" width="22.85546875" style="20" customWidth="1"/>
    <col min="7" max="7" width="20.7109375" style="182" customWidth="1"/>
    <col min="8" max="8" width="17" style="182" bestFit="1" customWidth="1"/>
    <col min="9" max="9" width="15.42578125" style="20" bestFit="1" customWidth="1"/>
    <col min="10" max="10" width="10.28515625" style="20" customWidth="1"/>
    <col min="11" max="11" width="23.28515625" style="20" customWidth="1"/>
    <col min="12" max="12" width="30.5703125" style="20" customWidth="1"/>
    <col min="13" max="13" width="10.42578125" style="20" customWidth="1"/>
    <col min="14" max="14" width="47.28515625" style="20" customWidth="1"/>
    <col min="15" max="15" width="8.42578125" style="20" customWidth="1"/>
    <col min="16" max="16" width="18" style="20" customWidth="1"/>
    <col min="17" max="17" width="12.5703125" style="20" customWidth="1"/>
    <col min="18" max="18" width="11.42578125" style="20" customWidth="1"/>
    <col min="19" max="19" width="14.7109375" style="184" customWidth="1"/>
    <col min="20" max="20" width="12.42578125" style="182" customWidth="1"/>
    <col min="21" max="21" width="11.5703125" style="182" customWidth="1"/>
    <col min="22" max="22" width="13" style="20" customWidth="1"/>
    <col min="23" max="23" width="16.140625" style="20" customWidth="1"/>
    <col min="24" max="24" width="14" style="20" customWidth="1"/>
    <col min="25" max="16384" width="11.42578125" style="20"/>
  </cols>
  <sheetData>
    <row r="1" spans="1:23" ht="21" customHeight="1" x14ac:dyDescent="0.25">
      <c r="A1" s="326" t="s">
        <v>24</v>
      </c>
      <c r="B1" s="327"/>
      <c r="C1" s="327"/>
      <c r="D1" s="327"/>
      <c r="E1" s="328"/>
      <c r="F1" s="329" t="str">
        <f>'CROQUIS '!G2</f>
        <v>Fabricant : EV FASHION</v>
      </c>
      <c r="G1" s="330"/>
      <c r="H1" s="330"/>
      <c r="I1" s="331"/>
      <c r="J1" s="326" t="s">
        <v>24</v>
      </c>
      <c r="K1" s="327"/>
      <c r="L1" s="327"/>
      <c r="M1" s="327"/>
      <c r="N1" s="327"/>
      <c r="O1" s="327"/>
      <c r="P1" s="327"/>
      <c r="Q1" s="327"/>
      <c r="R1" s="328"/>
      <c r="S1" s="330" t="s">
        <v>178</v>
      </c>
      <c r="T1" s="330"/>
      <c r="U1" s="330"/>
      <c r="V1" s="331"/>
      <c r="W1" s="151"/>
    </row>
    <row r="2" spans="1:23" ht="30.75" customHeight="1" x14ac:dyDescent="0.2">
      <c r="A2" s="332" t="s">
        <v>50</v>
      </c>
      <c r="B2" s="333"/>
      <c r="C2" s="333"/>
      <c r="D2" s="333"/>
      <c r="E2" s="333"/>
      <c r="F2" s="333"/>
      <c r="G2" s="333"/>
      <c r="H2" s="333"/>
      <c r="I2" s="334"/>
      <c r="J2" s="332" t="s">
        <v>50</v>
      </c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4"/>
      <c r="W2" s="152"/>
    </row>
    <row r="3" spans="1:23" ht="12" customHeight="1" x14ac:dyDescent="0.2">
      <c r="A3" s="335"/>
      <c r="B3" s="336"/>
      <c r="C3" s="336"/>
      <c r="D3" s="336"/>
      <c r="E3" s="336"/>
      <c r="F3" s="336"/>
      <c r="G3" s="336"/>
      <c r="H3" s="336"/>
      <c r="I3" s="337"/>
      <c r="J3" s="335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7"/>
      <c r="W3" s="152"/>
    </row>
    <row r="4" spans="1:23" s="154" customFormat="1" ht="12.75" customHeight="1" x14ac:dyDescent="0.3">
      <c r="A4" s="313" t="str">
        <f>'CROQUIS '!E5</f>
        <v>Thème :  1EVA32</v>
      </c>
      <c r="B4" s="314"/>
      <c r="C4" s="317" t="str">
        <f>'CROQUIS '!G5</f>
        <v>Modèle : V09413 BELL</v>
      </c>
      <c r="D4" s="285"/>
      <c r="E4" s="286"/>
      <c r="F4" s="285" t="s">
        <v>33</v>
      </c>
      <c r="G4" s="286"/>
      <c r="H4" s="317" t="str">
        <f>'CROQUIS '!C5</f>
        <v>Saison : 26H</v>
      </c>
      <c r="I4" s="321"/>
      <c r="J4" s="313" t="str">
        <f>A4</f>
        <v>Thème :  1EVA32</v>
      </c>
      <c r="K4" s="314"/>
      <c r="L4" s="317" t="str">
        <f>C4</f>
        <v>Modèle : V09413 BELL</v>
      </c>
      <c r="M4" s="285"/>
      <c r="N4" s="285"/>
      <c r="O4" s="285"/>
      <c r="P4" s="285"/>
      <c r="Q4" s="285"/>
      <c r="R4" s="286"/>
      <c r="S4" s="304">
        <v>45660</v>
      </c>
      <c r="T4" s="305"/>
      <c r="U4" s="305"/>
      <c r="V4" s="306"/>
      <c r="W4" s="153"/>
    </row>
    <row r="5" spans="1:23" s="154" customFormat="1" ht="19.5" customHeight="1" thickBot="1" x14ac:dyDescent="0.35">
      <c r="A5" s="315"/>
      <c r="B5" s="316"/>
      <c r="C5" s="318"/>
      <c r="D5" s="319"/>
      <c r="E5" s="320"/>
      <c r="F5" s="319"/>
      <c r="G5" s="320"/>
      <c r="H5" s="318"/>
      <c r="I5" s="322"/>
      <c r="J5" s="323"/>
      <c r="K5" s="324"/>
      <c r="L5" s="325"/>
      <c r="M5" s="287"/>
      <c r="N5" s="287"/>
      <c r="O5" s="287"/>
      <c r="P5" s="287"/>
      <c r="Q5" s="287"/>
      <c r="R5" s="288"/>
      <c r="S5" s="307"/>
      <c r="T5" s="308"/>
      <c r="U5" s="308"/>
      <c r="V5" s="309"/>
      <c r="W5" s="153"/>
    </row>
    <row r="6" spans="1:23" ht="29.25" customHeight="1" x14ac:dyDescent="0.25">
      <c r="A6" s="289"/>
      <c r="B6" s="290"/>
      <c r="C6" s="290"/>
      <c r="D6" s="290"/>
      <c r="E6" s="290"/>
      <c r="F6" s="290"/>
      <c r="G6" s="290"/>
      <c r="H6" s="290"/>
      <c r="I6" s="291"/>
      <c r="J6" s="298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300"/>
      <c r="W6" s="155"/>
    </row>
    <row r="7" spans="1:23" ht="27.75" customHeight="1" x14ac:dyDescent="0.25">
      <c r="A7" s="292"/>
      <c r="B7" s="293"/>
      <c r="C7" s="293"/>
      <c r="D7" s="293"/>
      <c r="E7" s="293"/>
      <c r="F7" s="293"/>
      <c r="G7" s="293"/>
      <c r="H7" s="293"/>
      <c r="I7" s="294"/>
      <c r="J7" s="298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300"/>
      <c r="W7" s="155"/>
    </row>
    <row r="8" spans="1:23" ht="21" customHeight="1" x14ac:dyDescent="0.25">
      <c r="A8" s="292"/>
      <c r="B8" s="293"/>
      <c r="C8" s="293"/>
      <c r="D8" s="293"/>
      <c r="E8" s="293"/>
      <c r="F8" s="293"/>
      <c r="G8" s="293"/>
      <c r="H8" s="293"/>
      <c r="I8" s="294"/>
      <c r="J8" s="298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300"/>
      <c r="W8" s="155"/>
    </row>
    <row r="9" spans="1:23" ht="21" customHeight="1" x14ac:dyDescent="0.25">
      <c r="A9" s="292"/>
      <c r="B9" s="293"/>
      <c r="C9" s="293"/>
      <c r="D9" s="293"/>
      <c r="E9" s="293"/>
      <c r="F9" s="293"/>
      <c r="G9" s="293"/>
      <c r="H9" s="293"/>
      <c r="I9" s="294"/>
      <c r="J9" s="298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300"/>
      <c r="W9" s="155"/>
    </row>
    <row r="10" spans="1:23" ht="44.25" customHeight="1" x14ac:dyDescent="0.25">
      <c r="A10" s="292"/>
      <c r="B10" s="293"/>
      <c r="C10" s="293"/>
      <c r="D10" s="293"/>
      <c r="E10" s="293"/>
      <c r="F10" s="293"/>
      <c r="G10" s="293"/>
      <c r="H10" s="293"/>
      <c r="I10" s="294"/>
      <c r="J10" s="298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300"/>
      <c r="W10" s="155"/>
    </row>
    <row r="11" spans="1:23" ht="21" customHeight="1" x14ac:dyDescent="0.25">
      <c r="A11" s="292"/>
      <c r="B11" s="293"/>
      <c r="C11" s="293"/>
      <c r="D11" s="293"/>
      <c r="E11" s="293"/>
      <c r="F11" s="293"/>
      <c r="G11" s="293"/>
      <c r="H11" s="293"/>
      <c r="I11" s="294"/>
      <c r="J11" s="298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300"/>
      <c r="W11" s="155"/>
    </row>
    <row r="12" spans="1:23" ht="21" customHeight="1" x14ac:dyDescent="0.25">
      <c r="A12" s="292"/>
      <c r="B12" s="293"/>
      <c r="C12" s="293"/>
      <c r="D12" s="293"/>
      <c r="E12" s="293"/>
      <c r="F12" s="293"/>
      <c r="G12" s="293"/>
      <c r="H12" s="293"/>
      <c r="I12" s="294"/>
      <c r="J12" s="298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300"/>
      <c r="W12" s="155"/>
    </row>
    <row r="13" spans="1:23" ht="29.25" customHeight="1" x14ac:dyDescent="0.25">
      <c r="A13" s="292"/>
      <c r="B13" s="293"/>
      <c r="C13" s="293"/>
      <c r="D13" s="293"/>
      <c r="E13" s="293"/>
      <c r="F13" s="293"/>
      <c r="G13" s="293"/>
      <c r="H13" s="293"/>
      <c r="I13" s="294"/>
      <c r="J13" s="298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300"/>
      <c r="W13" s="155"/>
    </row>
    <row r="14" spans="1:23" ht="21" customHeight="1" x14ac:dyDescent="0.25">
      <c r="A14" s="292"/>
      <c r="B14" s="293"/>
      <c r="C14" s="293"/>
      <c r="D14" s="293"/>
      <c r="E14" s="293"/>
      <c r="F14" s="293"/>
      <c r="G14" s="293"/>
      <c r="H14" s="293"/>
      <c r="I14" s="294"/>
      <c r="J14" s="298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300"/>
      <c r="W14" s="155"/>
    </row>
    <row r="15" spans="1:23" ht="21" customHeight="1" x14ac:dyDescent="0.25">
      <c r="A15" s="292"/>
      <c r="B15" s="293"/>
      <c r="C15" s="293"/>
      <c r="D15" s="293"/>
      <c r="E15" s="293"/>
      <c r="F15" s="293"/>
      <c r="G15" s="293"/>
      <c r="H15" s="293"/>
      <c r="I15" s="294"/>
      <c r="J15" s="298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300"/>
      <c r="W15" s="155"/>
    </row>
    <row r="16" spans="1:23" ht="39.75" customHeight="1" x14ac:dyDescent="0.25">
      <c r="A16" s="292"/>
      <c r="B16" s="293"/>
      <c r="C16" s="293"/>
      <c r="D16" s="293"/>
      <c r="E16" s="293"/>
      <c r="F16" s="293"/>
      <c r="G16" s="293"/>
      <c r="H16" s="293"/>
      <c r="I16" s="294"/>
      <c r="J16" s="298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300"/>
      <c r="W16" s="155"/>
    </row>
    <row r="17" spans="1:24" ht="24" customHeight="1" x14ac:dyDescent="0.25">
      <c r="A17" s="292"/>
      <c r="B17" s="293"/>
      <c r="C17" s="293"/>
      <c r="D17" s="293"/>
      <c r="E17" s="293"/>
      <c r="F17" s="293"/>
      <c r="G17" s="293"/>
      <c r="H17" s="293"/>
      <c r="I17" s="294"/>
      <c r="J17" s="298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300"/>
      <c r="W17" s="155"/>
    </row>
    <row r="18" spans="1:24" ht="21" customHeight="1" x14ac:dyDescent="0.25">
      <c r="A18" s="292"/>
      <c r="B18" s="293"/>
      <c r="C18" s="293"/>
      <c r="D18" s="293"/>
      <c r="E18" s="293"/>
      <c r="F18" s="293"/>
      <c r="G18" s="293"/>
      <c r="H18" s="293"/>
      <c r="I18" s="294"/>
      <c r="J18" s="298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300"/>
      <c r="W18" s="155"/>
    </row>
    <row r="19" spans="1:24" ht="21" customHeight="1" x14ac:dyDescent="0.25">
      <c r="A19" s="292"/>
      <c r="B19" s="293"/>
      <c r="C19" s="293"/>
      <c r="D19" s="293"/>
      <c r="E19" s="293"/>
      <c r="F19" s="293"/>
      <c r="G19" s="293"/>
      <c r="H19" s="293"/>
      <c r="I19" s="294"/>
      <c r="J19" s="298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300"/>
      <c r="W19" s="155"/>
    </row>
    <row r="20" spans="1:24" ht="226.9" customHeight="1" x14ac:dyDescent="0.25">
      <c r="A20" s="292"/>
      <c r="B20" s="293"/>
      <c r="C20" s="293"/>
      <c r="D20" s="293"/>
      <c r="E20" s="293"/>
      <c r="F20" s="293"/>
      <c r="G20" s="293"/>
      <c r="H20" s="293"/>
      <c r="I20" s="294"/>
      <c r="J20" s="298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300"/>
      <c r="W20" s="155"/>
    </row>
    <row r="21" spans="1:24" ht="207" customHeight="1" thickBot="1" x14ac:dyDescent="0.3">
      <c r="A21" s="295"/>
      <c r="B21" s="296"/>
      <c r="C21" s="296"/>
      <c r="D21" s="296"/>
      <c r="E21" s="296"/>
      <c r="F21" s="296"/>
      <c r="G21" s="296"/>
      <c r="H21" s="296"/>
      <c r="I21" s="297"/>
      <c r="J21" s="301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3"/>
      <c r="W21" s="155"/>
    </row>
    <row r="22" spans="1:24" ht="112.5" customHeight="1" x14ac:dyDescent="0.2">
      <c r="A22" s="157" t="s">
        <v>3</v>
      </c>
      <c r="B22" s="310" t="s">
        <v>1</v>
      </c>
      <c r="C22" s="311"/>
      <c r="D22" s="311"/>
      <c r="E22" s="312"/>
      <c r="F22" s="159" t="s">
        <v>171</v>
      </c>
      <c r="G22" s="160" t="s">
        <v>59</v>
      </c>
      <c r="H22" s="161" t="s">
        <v>51</v>
      </c>
      <c r="I22" s="162" t="s">
        <v>26</v>
      </c>
      <c r="J22" s="157" t="s">
        <v>3</v>
      </c>
      <c r="K22" s="310" t="s">
        <v>1</v>
      </c>
      <c r="L22" s="311"/>
      <c r="M22" s="311"/>
      <c r="N22" s="312"/>
      <c r="O22" s="163" t="s">
        <v>26</v>
      </c>
      <c r="P22" s="167" t="s">
        <v>165</v>
      </c>
      <c r="Q22" s="165" t="s">
        <v>60</v>
      </c>
      <c r="R22" s="166" t="s">
        <v>52</v>
      </c>
      <c r="S22" s="164" t="s">
        <v>166</v>
      </c>
      <c r="T22" s="165" t="s">
        <v>60</v>
      </c>
      <c r="U22" s="166" t="s">
        <v>52</v>
      </c>
      <c r="V22" s="168" t="s">
        <v>28</v>
      </c>
      <c r="W22" s="261"/>
      <c r="X22" s="261"/>
    </row>
    <row r="23" spans="1:24" s="21" customFormat="1" ht="45" customHeight="1" x14ac:dyDescent="0.35">
      <c r="A23" s="262" t="str">
        <f>'Prise Mesures '!A7</f>
        <v>A</v>
      </c>
      <c r="B23" s="278" t="str">
        <f>'Prise Mesures '!B7</f>
        <v>1/2 tour de poitrine (sous emmanchure) / 1/2 chest width (below armhole)</v>
      </c>
      <c r="C23" s="278"/>
      <c r="D23" s="278"/>
      <c r="E23" s="278"/>
      <c r="F23" s="25">
        <v>70.2</v>
      </c>
      <c r="G23" s="24"/>
      <c r="H23" s="24" t="str">
        <f t="shared" ref="H23" si="0">IF(ISBLANK(G23),"",G23-F23)</f>
        <v/>
      </c>
      <c r="I23" s="26">
        <v>1</v>
      </c>
      <c r="J23" s="262" t="str">
        <f>A23</f>
        <v>A</v>
      </c>
      <c r="K23" s="278" t="str">
        <f>B23</f>
        <v>1/2 tour de poitrine (sous emmanchure) / 1/2 chest width (below armhole)</v>
      </c>
      <c r="L23" s="278"/>
      <c r="M23" s="278"/>
      <c r="N23" s="278"/>
      <c r="O23" s="172">
        <v>1</v>
      </c>
      <c r="P23" s="176">
        <f>S23-V23</f>
        <v>66.2</v>
      </c>
      <c r="Q23" s="175"/>
      <c r="R23" s="175" t="str">
        <f>IF(ISBLANK($Q23),"",($Q23-$P23))</f>
        <v/>
      </c>
      <c r="S23" s="174">
        <f>F23</f>
        <v>70.2</v>
      </c>
      <c r="T23" s="175"/>
      <c r="U23" s="175" t="str">
        <f>IF(ISBLANK($T23),"",($T23-$S23))</f>
        <v/>
      </c>
      <c r="V23" s="177">
        <v>4</v>
      </c>
      <c r="W23" s="27"/>
      <c r="X23" s="22"/>
    </row>
    <row r="24" spans="1:24" s="21" customFormat="1" ht="45" customHeight="1" x14ac:dyDescent="0.35">
      <c r="A24" s="262" t="str">
        <f>'Prise Mesures '!A8</f>
        <v>B</v>
      </c>
      <c r="B24" s="278" t="str">
        <f>'Prise Mesures '!B8</f>
        <v>1/2 tour de bas de vêtement droit / 1/2 bottom width straight</v>
      </c>
      <c r="C24" s="278"/>
      <c r="D24" s="278"/>
      <c r="E24" s="278"/>
      <c r="F24" s="25">
        <v>82.2</v>
      </c>
      <c r="G24" s="24"/>
      <c r="H24" s="24"/>
      <c r="I24" s="26">
        <v>1</v>
      </c>
      <c r="J24" s="262" t="str">
        <f t="shared" ref="J24:J42" si="1">A24</f>
        <v>B</v>
      </c>
      <c r="K24" s="278" t="str">
        <f t="shared" ref="K24:K42" si="2">B24</f>
        <v>1/2 tour de bas de vêtement droit / 1/2 bottom width straight</v>
      </c>
      <c r="L24" s="278"/>
      <c r="M24" s="278"/>
      <c r="N24" s="278"/>
      <c r="O24" s="172">
        <v>1</v>
      </c>
      <c r="P24" s="176">
        <f t="shared" ref="P24:P41" si="3">S24-V24</f>
        <v>78.2</v>
      </c>
      <c r="Q24" s="175"/>
      <c r="R24" s="175"/>
      <c r="S24" s="174">
        <f t="shared" ref="S24:S41" si="4">F24</f>
        <v>82.2</v>
      </c>
      <c r="T24" s="175"/>
      <c r="U24" s="175" t="str">
        <f>IF(ISBLANK($T24),"",($T24-$S24))</f>
        <v/>
      </c>
      <c r="V24" s="177">
        <v>4</v>
      </c>
      <c r="W24" s="27"/>
      <c r="X24" s="22"/>
    </row>
    <row r="25" spans="1:24" s="21" customFormat="1" ht="45" customHeight="1" x14ac:dyDescent="0.35">
      <c r="A25" s="262" t="str">
        <f>'Prise Mesures '!A9</f>
        <v>C</v>
      </c>
      <c r="B25" s="278" t="str">
        <f>'Prise Mesures '!B9</f>
        <v>1/2 encolure dos / 1/2 back neckline</v>
      </c>
      <c r="C25" s="278"/>
      <c r="D25" s="278"/>
      <c r="E25" s="278"/>
      <c r="F25" s="25">
        <v>9.4</v>
      </c>
      <c r="G25" s="24"/>
      <c r="H25" s="24" t="str">
        <f>IF(ISBLANK(G25),"",G25-F25)</f>
        <v/>
      </c>
      <c r="I25" s="26">
        <v>1</v>
      </c>
      <c r="J25" s="262" t="str">
        <f t="shared" si="1"/>
        <v>C</v>
      </c>
      <c r="K25" s="278" t="str">
        <f t="shared" si="2"/>
        <v>1/2 encolure dos / 1/2 back neckline</v>
      </c>
      <c r="L25" s="278"/>
      <c r="M25" s="278"/>
      <c r="N25" s="278"/>
      <c r="O25" s="172">
        <f t="shared" ref="O25:O42" si="5">I25</f>
        <v>1</v>
      </c>
      <c r="P25" s="176">
        <f t="shared" si="3"/>
        <v>9</v>
      </c>
      <c r="Q25" s="175"/>
      <c r="R25" s="175" t="str">
        <f>IF(ISBLANK($Q25),"",($Q25-$P25))</f>
        <v/>
      </c>
      <c r="S25" s="174">
        <f t="shared" si="4"/>
        <v>9.4</v>
      </c>
      <c r="T25" s="175"/>
      <c r="U25" s="175" t="str">
        <f>IF(ISBLANK($T25),"",($T25-$S25))</f>
        <v/>
      </c>
      <c r="V25" s="177">
        <v>0.4</v>
      </c>
      <c r="W25" s="27"/>
      <c r="X25" s="22"/>
    </row>
    <row r="26" spans="1:24" s="21" customFormat="1" ht="45" customHeight="1" x14ac:dyDescent="0.35">
      <c r="A26" s="262" t="str">
        <f>'Prise Mesures '!A10</f>
        <v>D</v>
      </c>
      <c r="B26" s="278" t="str">
        <f>'Prise Mesures '!B10</f>
        <v>1/2 encolure devant jusqu'au bord / 1/2 front neckline to the edge</v>
      </c>
      <c r="C26" s="278"/>
      <c r="D26" s="278"/>
      <c r="E26" s="278"/>
      <c r="F26" s="25">
        <v>11.7</v>
      </c>
      <c r="G26" s="24"/>
      <c r="H26" s="24" t="str">
        <f t="shared" ref="H26:H42" si="6">IF(ISBLANK(G26),"",G26-F26)</f>
        <v/>
      </c>
      <c r="I26" s="26">
        <v>0.2</v>
      </c>
      <c r="J26" s="262" t="str">
        <f t="shared" si="1"/>
        <v>D</v>
      </c>
      <c r="K26" s="278" t="str">
        <f t="shared" si="2"/>
        <v>1/2 encolure devant jusqu'au bord / 1/2 front neckline to the edge</v>
      </c>
      <c r="L26" s="278"/>
      <c r="M26" s="278"/>
      <c r="N26" s="278"/>
      <c r="O26" s="172">
        <f t="shared" si="5"/>
        <v>0.2</v>
      </c>
      <c r="P26" s="176">
        <f t="shared" si="3"/>
        <v>11.2</v>
      </c>
      <c r="Q26" s="175"/>
      <c r="R26" s="175" t="str">
        <f t="shared" ref="R26:R42" si="7">IF(ISBLANK($Q26),"",($Q26-$P26))</f>
        <v/>
      </c>
      <c r="S26" s="174">
        <f t="shared" si="4"/>
        <v>11.7</v>
      </c>
      <c r="T26" s="175"/>
      <c r="U26" s="175" t="str">
        <f t="shared" ref="U26:U42" si="8">IF(ISBLANK($T26),"",($T26-$S26))</f>
        <v/>
      </c>
      <c r="V26" s="177">
        <v>0.5</v>
      </c>
      <c r="W26" s="27"/>
      <c r="X26" s="22"/>
    </row>
    <row r="27" spans="1:24" s="21" customFormat="1" ht="45" hidden="1" customHeight="1" x14ac:dyDescent="0.35">
      <c r="A27" s="262" t="str">
        <f>'Prise Mesures '!A11</f>
        <v>D1</v>
      </c>
      <c r="B27" s="278" t="str">
        <f>'Prise Mesures '!B11</f>
        <v>Encolure sur la manche raglan / Neckline on the raglan sleeve</v>
      </c>
      <c r="C27" s="278"/>
      <c r="D27" s="278"/>
      <c r="E27" s="278"/>
      <c r="F27" s="25"/>
      <c r="G27" s="24"/>
      <c r="H27" s="24" t="str">
        <f t="shared" si="6"/>
        <v/>
      </c>
      <c r="I27" s="26">
        <v>0.2</v>
      </c>
      <c r="J27" s="262" t="str">
        <f t="shared" si="1"/>
        <v>D1</v>
      </c>
      <c r="K27" s="278" t="str">
        <f t="shared" si="2"/>
        <v>Encolure sur la manche raglan / Neckline on the raglan sleeve</v>
      </c>
      <c r="L27" s="278"/>
      <c r="M27" s="278"/>
      <c r="N27" s="278"/>
      <c r="O27" s="172">
        <f t="shared" si="5"/>
        <v>0.2</v>
      </c>
      <c r="P27" s="176" t="e">
        <f t="shared" si="3"/>
        <v>#VALUE!</v>
      </c>
      <c r="Q27" s="175"/>
      <c r="R27" s="175" t="str">
        <f t="shared" si="7"/>
        <v/>
      </c>
      <c r="S27" s="174">
        <f t="shared" si="4"/>
        <v>0</v>
      </c>
      <c r="T27" s="175"/>
      <c r="U27" s="175" t="str">
        <f t="shared" si="8"/>
        <v/>
      </c>
      <c r="V27" s="177" t="s">
        <v>167</v>
      </c>
      <c r="W27" s="27"/>
      <c r="X27" s="22"/>
    </row>
    <row r="28" spans="1:24" s="21" customFormat="1" ht="45" hidden="1" customHeight="1" x14ac:dyDescent="0.35">
      <c r="A28" s="262" t="str">
        <f>'Prise Mesures '!A12</f>
        <v>E</v>
      </c>
      <c r="B28" s="278" t="str">
        <f>'Prise Mesures '!B12</f>
        <v>Carrure dos (12 cm de l'encolure milieu dos) / Back cross-front (12 cm from middle back neckline)</v>
      </c>
      <c r="C28" s="278"/>
      <c r="D28" s="278"/>
      <c r="E28" s="278"/>
      <c r="F28" s="25"/>
      <c r="G28" s="24"/>
      <c r="H28" s="24" t="str">
        <f t="shared" si="6"/>
        <v/>
      </c>
      <c r="I28" s="26">
        <f>'[1]Prise Mesures '!C11</f>
        <v>0.5</v>
      </c>
      <c r="J28" s="262" t="str">
        <f t="shared" si="1"/>
        <v>E</v>
      </c>
      <c r="K28" s="278" t="str">
        <f t="shared" si="2"/>
        <v>Carrure dos (12 cm de l'encolure milieu dos) / Back cross-front (12 cm from middle back neckline)</v>
      </c>
      <c r="L28" s="278"/>
      <c r="M28" s="278"/>
      <c r="N28" s="278"/>
      <c r="O28" s="172">
        <f t="shared" si="5"/>
        <v>0.5</v>
      </c>
      <c r="P28" s="176">
        <f t="shared" si="3"/>
        <v>-2</v>
      </c>
      <c r="Q28" s="175"/>
      <c r="R28" s="175" t="str">
        <f t="shared" si="7"/>
        <v/>
      </c>
      <c r="S28" s="174">
        <f t="shared" si="4"/>
        <v>0</v>
      </c>
      <c r="T28" s="175"/>
      <c r="U28" s="175" t="str">
        <f t="shared" si="8"/>
        <v/>
      </c>
      <c r="V28" s="177">
        <v>2</v>
      </c>
      <c r="W28" s="27"/>
      <c r="X28" s="22"/>
    </row>
    <row r="29" spans="1:24" s="21" customFormat="1" ht="45" hidden="1" customHeight="1" x14ac:dyDescent="0.35">
      <c r="A29" s="262" t="str">
        <f>'Prise Mesures '!A13</f>
        <v>F</v>
      </c>
      <c r="B29" s="278" t="str">
        <f>'Prise Mesures '!B13</f>
        <v>Carrure devant (13cm de la pointe encolure) / Front cross-front (13 cm from neck point)</v>
      </c>
      <c r="C29" s="278"/>
      <c r="D29" s="278"/>
      <c r="E29" s="278"/>
      <c r="F29" s="25"/>
      <c r="G29" s="24"/>
      <c r="H29" s="24" t="str">
        <f t="shared" si="6"/>
        <v/>
      </c>
      <c r="I29" s="26">
        <f>'[1]Prise Mesures '!C12</f>
        <v>0.5</v>
      </c>
      <c r="J29" s="262" t="str">
        <f t="shared" si="1"/>
        <v>F</v>
      </c>
      <c r="K29" s="278" t="str">
        <f t="shared" si="2"/>
        <v>Carrure devant (13cm de la pointe encolure) / Front cross-front (13 cm from neck point)</v>
      </c>
      <c r="L29" s="278"/>
      <c r="M29" s="278"/>
      <c r="N29" s="278"/>
      <c r="O29" s="172">
        <f t="shared" si="5"/>
        <v>0.5</v>
      </c>
      <c r="P29" s="176">
        <f t="shared" si="3"/>
        <v>-2</v>
      </c>
      <c r="Q29" s="175"/>
      <c r="R29" s="175" t="str">
        <f t="shared" si="7"/>
        <v/>
      </c>
      <c r="S29" s="174">
        <f t="shared" si="4"/>
        <v>0</v>
      </c>
      <c r="T29" s="175"/>
      <c r="U29" s="175" t="str">
        <f t="shared" si="8"/>
        <v/>
      </c>
      <c r="V29" s="177">
        <v>2</v>
      </c>
      <c r="W29" s="27"/>
      <c r="X29" s="22"/>
    </row>
    <row r="30" spans="1:24" s="21" customFormat="1" ht="45" hidden="1" customHeight="1" x14ac:dyDescent="0.35">
      <c r="A30" s="262" t="str">
        <f>'Prise Mesures '!A14</f>
        <v>G</v>
      </c>
      <c r="B30" s="278" t="str">
        <f>'Prise Mesures '!B14</f>
        <v>Carrure épaule à épaule / Shoulder to shoulder cross-front</v>
      </c>
      <c r="C30" s="278"/>
      <c r="D30" s="278"/>
      <c r="E30" s="278"/>
      <c r="F30" s="25"/>
      <c r="G30" s="24"/>
      <c r="H30" s="24" t="str">
        <f>IF(ISBLANK(G30),"",G30-F30)</f>
        <v/>
      </c>
      <c r="I30" s="26">
        <f>'[1]Prise Mesures '!C13</f>
        <v>0.5</v>
      </c>
      <c r="J30" s="262" t="str">
        <f t="shared" si="1"/>
        <v>G</v>
      </c>
      <c r="K30" s="278" t="str">
        <f t="shared" si="2"/>
        <v>Carrure épaule à épaule / Shoulder to shoulder cross-front</v>
      </c>
      <c r="L30" s="278"/>
      <c r="M30" s="278"/>
      <c r="N30" s="278"/>
      <c r="O30" s="172">
        <f t="shared" si="5"/>
        <v>0.5</v>
      </c>
      <c r="P30" s="176">
        <f t="shared" si="3"/>
        <v>-2</v>
      </c>
      <c r="Q30" s="175"/>
      <c r="R30" s="175" t="str">
        <f t="shared" si="7"/>
        <v/>
      </c>
      <c r="S30" s="174">
        <f t="shared" si="4"/>
        <v>0</v>
      </c>
      <c r="T30" s="175"/>
      <c r="U30" s="175" t="str">
        <f t="shared" si="8"/>
        <v/>
      </c>
      <c r="V30" s="177">
        <v>2</v>
      </c>
      <c r="W30" s="23"/>
      <c r="X30" s="22"/>
    </row>
    <row r="31" spans="1:24" s="180" customFormat="1" ht="45" customHeight="1" x14ac:dyDescent="0.35">
      <c r="A31" s="262" t="str">
        <f>'Prise Mesures '!A15</f>
        <v>H</v>
      </c>
      <c r="B31" s="278" t="str">
        <f>'Prise Mesures '!B15</f>
        <v>Longueur épaule / Shoulder length</v>
      </c>
      <c r="C31" s="278"/>
      <c r="D31" s="278"/>
      <c r="E31" s="278"/>
      <c r="F31" s="25">
        <v>5.5</v>
      </c>
      <c r="G31" s="24"/>
      <c r="H31" s="24" t="str">
        <f t="shared" si="6"/>
        <v/>
      </c>
      <c r="I31" s="26">
        <f>'[1]Prise Mesures '!C14</f>
        <v>0.2</v>
      </c>
      <c r="J31" s="262" t="str">
        <f t="shared" si="1"/>
        <v>H</v>
      </c>
      <c r="K31" s="278" t="str">
        <f t="shared" si="2"/>
        <v>Longueur épaule / Shoulder length</v>
      </c>
      <c r="L31" s="278"/>
      <c r="M31" s="278"/>
      <c r="N31" s="278"/>
      <c r="O31" s="172">
        <f t="shared" si="5"/>
        <v>0.2</v>
      </c>
      <c r="P31" s="176">
        <f t="shared" si="3"/>
        <v>5.0999999999999996</v>
      </c>
      <c r="Q31" s="175"/>
      <c r="R31" s="175" t="str">
        <f t="shared" si="7"/>
        <v/>
      </c>
      <c r="S31" s="174">
        <f t="shared" si="4"/>
        <v>5.5</v>
      </c>
      <c r="T31" s="175"/>
      <c r="U31" s="175" t="str">
        <f t="shared" si="8"/>
        <v/>
      </c>
      <c r="V31" s="177">
        <v>0.4</v>
      </c>
      <c r="W31" s="27"/>
      <c r="X31" s="179"/>
    </row>
    <row r="32" spans="1:24" s="21" customFormat="1" ht="45" customHeight="1" x14ac:dyDescent="0.35">
      <c r="A32" s="262" t="str">
        <f>'Prise Mesures '!A16</f>
        <v>I</v>
      </c>
      <c r="B32" s="278" t="str">
        <f>'Prise Mesures '!B16</f>
        <v>Longueur manche sans le poignet / Sleeve length without cuff</v>
      </c>
      <c r="C32" s="278"/>
      <c r="D32" s="278"/>
      <c r="E32" s="278"/>
      <c r="F32" s="25">
        <v>58.6</v>
      </c>
      <c r="G32" s="24"/>
      <c r="H32" s="24" t="str">
        <f t="shared" si="6"/>
        <v/>
      </c>
      <c r="I32" s="26">
        <v>1</v>
      </c>
      <c r="J32" s="262" t="str">
        <f t="shared" si="1"/>
        <v>I</v>
      </c>
      <c r="K32" s="278" t="str">
        <f t="shared" si="2"/>
        <v>Longueur manche sans le poignet / Sleeve length without cuff</v>
      </c>
      <c r="L32" s="278"/>
      <c r="M32" s="278"/>
      <c r="N32" s="278"/>
      <c r="O32" s="172">
        <f t="shared" si="5"/>
        <v>1</v>
      </c>
      <c r="P32" s="176">
        <f t="shared" si="3"/>
        <v>56.6</v>
      </c>
      <c r="Q32" s="175"/>
      <c r="R32" s="175" t="str">
        <f t="shared" si="7"/>
        <v/>
      </c>
      <c r="S32" s="174">
        <f t="shared" si="4"/>
        <v>58.6</v>
      </c>
      <c r="T32" s="175"/>
      <c r="U32" s="175" t="str">
        <f t="shared" si="8"/>
        <v/>
      </c>
      <c r="V32" s="177">
        <v>2</v>
      </c>
      <c r="W32" s="27"/>
      <c r="X32" s="22"/>
    </row>
    <row r="33" spans="1:24" s="21" customFormat="1" ht="45" customHeight="1" x14ac:dyDescent="0.35">
      <c r="A33" s="262" t="str">
        <f>'Prise Mesures '!A17</f>
        <v>J</v>
      </c>
      <c r="B33" s="278" t="str">
        <f>'Prise Mesures '!B17</f>
        <v>Longueur emmanchure devant / Front armhole length</v>
      </c>
      <c r="C33" s="278"/>
      <c r="D33" s="278"/>
      <c r="E33" s="278"/>
      <c r="F33" s="25">
        <v>35.6</v>
      </c>
      <c r="G33" s="24"/>
      <c r="H33" s="24" t="str">
        <f t="shared" si="6"/>
        <v/>
      </c>
      <c r="I33" s="26">
        <f>'[1]Prise Mesures '!C16</f>
        <v>0.5</v>
      </c>
      <c r="J33" s="262" t="str">
        <f t="shared" si="1"/>
        <v>J</v>
      </c>
      <c r="K33" s="278" t="str">
        <f t="shared" si="2"/>
        <v>Longueur emmanchure devant / Front armhole length</v>
      </c>
      <c r="L33" s="278"/>
      <c r="M33" s="278"/>
      <c r="N33" s="278"/>
      <c r="O33" s="172">
        <f t="shared" si="5"/>
        <v>0.5</v>
      </c>
      <c r="P33" s="176">
        <f t="shared" si="3"/>
        <v>33.6</v>
      </c>
      <c r="Q33" s="175"/>
      <c r="R33" s="175" t="str">
        <f t="shared" si="7"/>
        <v/>
      </c>
      <c r="S33" s="174">
        <f t="shared" si="4"/>
        <v>35.6</v>
      </c>
      <c r="T33" s="175"/>
      <c r="U33" s="175" t="str">
        <f t="shared" si="8"/>
        <v/>
      </c>
      <c r="V33" s="177">
        <v>2</v>
      </c>
      <c r="W33" s="263"/>
      <c r="X33" s="264"/>
    </row>
    <row r="34" spans="1:24" s="21" customFormat="1" ht="45" customHeight="1" x14ac:dyDescent="0.35">
      <c r="A34" s="262" t="str">
        <f>'Prise Mesures '!A18</f>
        <v>K</v>
      </c>
      <c r="B34" s="278" t="str">
        <f>'Prise Mesures '!B18</f>
        <v>Longueur emmanchure dos / Back armhole length</v>
      </c>
      <c r="C34" s="278"/>
      <c r="D34" s="278"/>
      <c r="E34" s="278"/>
      <c r="F34" s="25">
        <v>37.4</v>
      </c>
      <c r="G34" s="24"/>
      <c r="H34" s="24" t="str">
        <f t="shared" si="6"/>
        <v/>
      </c>
      <c r="I34" s="26">
        <f>'[1]Prise Mesures '!C17</f>
        <v>0.5</v>
      </c>
      <c r="J34" s="262" t="str">
        <f t="shared" si="1"/>
        <v>K</v>
      </c>
      <c r="K34" s="278" t="str">
        <f t="shared" si="2"/>
        <v>Longueur emmanchure dos / Back armhole length</v>
      </c>
      <c r="L34" s="278"/>
      <c r="M34" s="278"/>
      <c r="N34" s="278"/>
      <c r="O34" s="172">
        <f t="shared" si="5"/>
        <v>0.5</v>
      </c>
      <c r="P34" s="176">
        <f t="shared" si="3"/>
        <v>35.4</v>
      </c>
      <c r="Q34" s="175"/>
      <c r="R34" s="175" t="str">
        <f t="shared" si="7"/>
        <v/>
      </c>
      <c r="S34" s="174">
        <f t="shared" si="4"/>
        <v>37.4</v>
      </c>
      <c r="T34" s="175"/>
      <c r="U34" s="175" t="str">
        <f t="shared" si="8"/>
        <v/>
      </c>
      <c r="V34" s="177">
        <v>2</v>
      </c>
      <c r="W34" s="263"/>
      <c r="X34" s="264"/>
    </row>
    <row r="35" spans="1:24" s="21" customFormat="1" ht="45" customHeight="1" x14ac:dyDescent="0.35">
      <c r="A35" s="262" t="str">
        <f>'Prise Mesures '!A19</f>
        <v>L</v>
      </c>
      <c r="B35" s="278" t="str">
        <f>'Prise Mesures '!B19</f>
        <v xml:space="preserve">1/2 largeur bras / 1/2 arm width </v>
      </c>
      <c r="C35" s="278"/>
      <c r="D35" s="278"/>
      <c r="E35" s="278"/>
      <c r="F35" s="25">
        <v>40.1</v>
      </c>
      <c r="G35" s="24"/>
      <c r="H35" s="24" t="str">
        <f>IF(ISBLANK(G35),"",G35-F35)</f>
        <v/>
      </c>
      <c r="I35" s="26">
        <f>'[1]Prise Mesures '!C18</f>
        <v>0</v>
      </c>
      <c r="J35" s="262" t="str">
        <f t="shared" si="1"/>
        <v>L</v>
      </c>
      <c r="K35" s="278" t="str">
        <f t="shared" si="2"/>
        <v xml:space="preserve">1/2 largeur bras / 1/2 arm width </v>
      </c>
      <c r="L35" s="278"/>
      <c r="M35" s="278"/>
      <c r="N35" s="278"/>
      <c r="O35" s="172">
        <f t="shared" si="5"/>
        <v>0</v>
      </c>
      <c r="P35" s="176">
        <f t="shared" si="3"/>
        <v>38.9</v>
      </c>
      <c r="Q35" s="175"/>
      <c r="R35" s="175" t="str">
        <f t="shared" si="7"/>
        <v/>
      </c>
      <c r="S35" s="174">
        <f t="shared" si="4"/>
        <v>40.1</v>
      </c>
      <c r="T35" s="175"/>
      <c r="U35" s="175" t="str">
        <f t="shared" si="8"/>
        <v/>
      </c>
      <c r="V35" s="177">
        <v>1.2</v>
      </c>
      <c r="W35" s="265"/>
      <c r="X35" s="264"/>
    </row>
    <row r="36" spans="1:24" s="21" customFormat="1" ht="45" customHeight="1" x14ac:dyDescent="0.35">
      <c r="A36" s="262" t="str">
        <f>'Prise Mesures '!A20</f>
        <v>M</v>
      </c>
      <c r="B36" s="278" t="str">
        <f>'Prise Mesures '!B20</f>
        <v xml:space="preserve">1/2 bas de manche / 1/2 bottom sleeve width </v>
      </c>
      <c r="C36" s="278"/>
      <c r="D36" s="278"/>
      <c r="E36" s="278"/>
      <c r="F36" s="25">
        <v>12.5</v>
      </c>
      <c r="G36" s="24"/>
      <c r="H36" s="24" t="str">
        <f>IF(ISBLANK(G36),"",G36-F36)</f>
        <v/>
      </c>
      <c r="I36" s="26">
        <f>'[1]Prise Mesures '!C19</f>
        <v>0.5</v>
      </c>
      <c r="J36" s="262" t="str">
        <f t="shared" si="1"/>
        <v>M</v>
      </c>
      <c r="K36" s="278" t="str">
        <f t="shared" si="2"/>
        <v xml:space="preserve">1/2 bas de manche / 1/2 bottom sleeve width </v>
      </c>
      <c r="L36" s="278"/>
      <c r="M36" s="278"/>
      <c r="N36" s="278"/>
      <c r="O36" s="172">
        <f t="shared" si="5"/>
        <v>0.5</v>
      </c>
      <c r="P36" s="176">
        <f t="shared" si="3"/>
        <v>12</v>
      </c>
      <c r="Q36" s="175"/>
      <c r="R36" s="175" t="str">
        <f t="shared" si="7"/>
        <v/>
      </c>
      <c r="S36" s="174">
        <f t="shared" si="4"/>
        <v>12.5</v>
      </c>
      <c r="T36" s="175"/>
      <c r="U36" s="175" t="str">
        <f t="shared" si="8"/>
        <v/>
      </c>
      <c r="V36" s="177">
        <v>0.5</v>
      </c>
      <c r="W36" s="263"/>
      <c r="X36" s="264"/>
    </row>
    <row r="37" spans="1:24" s="21" customFormat="1" ht="45" hidden="1" customHeight="1" x14ac:dyDescent="0.35">
      <c r="A37" s="262" t="str">
        <f>'Prise Mesures '!A21</f>
        <v>N</v>
      </c>
      <c r="B37" s="278" t="str">
        <f>'Prise Mesures '!B21</f>
        <v>Hauteur poignet / Cuff height</v>
      </c>
      <c r="C37" s="278"/>
      <c r="D37" s="278"/>
      <c r="E37" s="278"/>
      <c r="F37" s="25"/>
      <c r="G37" s="24"/>
      <c r="H37" s="24"/>
      <c r="I37" s="26">
        <f>'[1]Prise Mesures '!C20</f>
        <v>0.5</v>
      </c>
      <c r="J37" s="262" t="str">
        <f t="shared" si="1"/>
        <v>N</v>
      </c>
      <c r="K37" s="278" t="str">
        <f t="shared" si="2"/>
        <v>Hauteur poignet / Cuff height</v>
      </c>
      <c r="L37" s="278"/>
      <c r="M37" s="278"/>
      <c r="N37" s="278"/>
      <c r="O37" s="172">
        <f t="shared" si="5"/>
        <v>0.5</v>
      </c>
      <c r="P37" s="176">
        <f t="shared" si="3"/>
        <v>0</v>
      </c>
      <c r="Q37" s="175"/>
      <c r="R37" s="175" t="str">
        <f t="shared" si="7"/>
        <v/>
      </c>
      <c r="S37" s="174">
        <f t="shared" si="4"/>
        <v>0</v>
      </c>
      <c r="T37" s="175"/>
      <c r="U37" s="175" t="str">
        <f t="shared" si="8"/>
        <v/>
      </c>
      <c r="V37" s="177">
        <v>0</v>
      </c>
      <c r="W37" s="263"/>
      <c r="X37" s="264"/>
    </row>
    <row r="38" spans="1:24" s="21" customFormat="1" ht="45" customHeight="1" x14ac:dyDescent="0.35">
      <c r="A38" s="262" t="str">
        <f>'Prise Mesures '!A22</f>
        <v>O</v>
      </c>
      <c r="B38" s="278" t="str">
        <f>'Prise Mesures '!B22</f>
        <v>Longueur milieu dos / Middle back length</v>
      </c>
      <c r="C38" s="278"/>
      <c r="D38" s="278"/>
      <c r="E38" s="278"/>
      <c r="F38" s="25">
        <v>66.8</v>
      </c>
      <c r="G38" s="24"/>
      <c r="H38" s="24"/>
      <c r="I38" s="26">
        <f>'[1]Prise Mesures '!C21</f>
        <v>1</v>
      </c>
      <c r="J38" s="262" t="str">
        <f t="shared" si="1"/>
        <v>O</v>
      </c>
      <c r="K38" s="278" t="str">
        <f t="shared" si="2"/>
        <v>Longueur milieu dos / Middle back length</v>
      </c>
      <c r="L38" s="278"/>
      <c r="M38" s="278"/>
      <c r="N38" s="278"/>
      <c r="O38" s="172">
        <f t="shared" si="5"/>
        <v>1</v>
      </c>
      <c r="P38" s="176">
        <f t="shared" si="3"/>
        <v>62.8</v>
      </c>
      <c r="Q38" s="175"/>
      <c r="R38" s="175" t="str">
        <f t="shared" si="7"/>
        <v/>
      </c>
      <c r="S38" s="174">
        <f t="shared" si="4"/>
        <v>66.8</v>
      </c>
      <c r="T38" s="175"/>
      <c r="U38" s="175" t="str">
        <f t="shared" si="8"/>
        <v/>
      </c>
      <c r="V38" s="177">
        <v>4</v>
      </c>
      <c r="W38" s="27"/>
      <c r="X38" s="22"/>
    </row>
    <row r="39" spans="1:24" s="21" customFormat="1" ht="45" customHeight="1" x14ac:dyDescent="0.35">
      <c r="A39" s="262" t="str">
        <f>'Prise Mesures '!A23</f>
        <v>P1</v>
      </c>
      <c r="B39" s="278" t="str">
        <f>'Prise Mesures '!B23</f>
        <v>Longueur milieu devant / Middle front length</v>
      </c>
      <c r="C39" s="278"/>
      <c r="D39" s="278"/>
      <c r="E39" s="278"/>
      <c r="F39" s="25">
        <v>38.4</v>
      </c>
      <c r="G39" s="24"/>
      <c r="H39" s="24"/>
      <c r="I39" s="26">
        <f>'[1]Prise Mesures '!C22</f>
        <v>1</v>
      </c>
      <c r="J39" s="262" t="str">
        <f t="shared" si="1"/>
        <v>P1</v>
      </c>
      <c r="K39" s="278" t="str">
        <f t="shared" si="2"/>
        <v>Longueur milieu devant / Middle front length</v>
      </c>
      <c r="L39" s="278"/>
      <c r="M39" s="278"/>
      <c r="N39" s="278"/>
      <c r="O39" s="172">
        <f t="shared" si="5"/>
        <v>1</v>
      </c>
      <c r="P39" s="176">
        <f t="shared" si="3"/>
        <v>34.4</v>
      </c>
      <c r="Q39" s="175"/>
      <c r="R39" s="175" t="str">
        <f t="shared" si="7"/>
        <v/>
      </c>
      <c r="S39" s="174">
        <f t="shared" si="4"/>
        <v>38.4</v>
      </c>
      <c r="T39" s="175"/>
      <c r="U39" s="175" t="str">
        <f t="shared" si="8"/>
        <v/>
      </c>
      <c r="V39" s="177">
        <v>4</v>
      </c>
      <c r="W39" s="27"/>
      <c r="X39" s="22"/>
    </row>
    <row r="40" spans="1:24" s="21" customFormat="1" ht="45" hidden="1" customHeight="1" x14ac:dyDescent="0.35">
      <c r="A40" s="262" t="str">
        <f>'Prise Mesures '!A24</f>
        <v>Q</v>
      </c>
      <c r="B40" s="278" t="str">
        <f>'Prise Mesures '!B24</f>
        <v>1/2 envergure / 1/2 wingspan</v>
      </c>
      <c r="C40" s="278"/>
      <c r="D40" s="278"/>
      <c r="E40" s="278"/>
      <c r="F40" s="25"/>
      <c r="G40" s="24"/>
      <c r="H40" s="24" t="str">
        <f t="shared" si="6"/>
        <v/>
      </c>
      <c r="I40" s="26">
        <f>'[1]Prise Mesures '!C23</f>
        <v>1</v>
      </c>
      <c r="J40" s="262" t="str">
        <f t="shared" si="1"/>
        <v>Q</v>
      </c>
      <c r="K40" s="278" t="str">
        <f t="shared" si="2"/>
        <v>1/2 envergure / 1/2 wingspan</v>
      </c>
      <c r="L40" s="278"/>
      <c r="M40" s="278"/>
      <c r="N40" s="278"/>
      <c r="O40" s="172">
        <f t="shared" si="5"/>
        <v>1</v>
      </c>
      <c r="P40" s="176">
        <f t="shared" si="3"/>
        <v>-3</v>
      </c>
      <c r="Q40" s="175"/>
      <c r="R40" s="175" t="str">
        <f t="shared" si="7"/>
        <v/>
      </c>
      <c r="S40" s="174">
        <f t="shared" si="4"/>
        <v>0</v>
      </c>
      <c r="T40" s="175"/>
      <c r="U40" s="175" t="str">
        <f t="shared" si="8"/>
        <v/>
      </c>
      <c r="V40" s="177">
        <v>3</v>
      </c>
      <c r="W40" s="27"/>
      <c r="X40" s="22"/>
    </row>
    <row r="41" spans="1:24" s="21" customFormat="1" ht="45" customHeight="1" x14ac:dyDescent="0.35">
      <c r="A41" s="262" t="str">
        <f>'Prise Mesures '!A25</f>
        <v>R</v>
      </c>
      <c r="B41" s="278" t="str">
        <f>'Prise Mesures '!B25</f>
        <v xml:space="preserve">Longueur bord col / Collar edge length </v>
      </c>
      <c r="C41" s="278"/>
      <c r="D41" s="278"/>
      <c r="E41" s="278"/>
      <c r="F41" s="25">
        <v>41</v>
      </c>
      <c r="G41" s="24"/>
      <c r="H41" s="24" t="str">
        <f>IF(ISBLANK(G41),"",G41-F41)</f>
        <v/>
      </c>
      <c r="I41" s="26">
        <f>'[1]Prise Mesures '!C24</f>
        <v>0.5</v>
      </c>
      <c r="J41" s="262" t="str">
        <f t="shared" si="1"/>
        <v>R</v>
      </c>
      <c r="K41" s="278" t="str">
        <f t="shared" si="2"/>
        <v xml:space="preserve">Longueur bord col / Collar edge length </v>
      </c>
      <c r="L41" s="278"/>
      <c r="M41" s="278"/>
      <c r="N41" s="278"/>
      <c r="O41" s="172">
        <f t="shared" si="5"/>
        <v>0.5</v>
      </c>
      <c r="P41" s="176">
        <f t="shared" si="3"/>
        <v>39.200000000000003</v>
      </c>
      <c r="Q41" s="175"/>
      <c r="R41" s="175" t="str">
        <f t="shared" si="7"/>
        <v/>
      </c>
      <c r="S41" s="174">
        <f t="shared" si="4"/>
        <v>41</v>
      </c>
      <c r="T41" s="175"/>
      <c r="U41" s="175" t="str">
        <f t="shared" si="8"/>
        <v/>
      </c>
      <c r="V41" s="177">
        <v>1.8</v>
      </c>
      <c r="W41" s="23"/>
      <c r="X41" s="22"/>
    </row>
    <row r="42" spans="1:24" s="21" customFormat="1" ht="45" hidden="1" customHeight="1" thickBot="1" x14ac:dyDescent="0.4">
      <c r="A42" s="262" t="str">
        <f>'Prise Mesures '!A26</f>
        <v>S</v>
      </c>
      <c r="B42" s="278" t="str">
        <f>'Prise Mesures '!B26</f>
        <v>Hauteur fente / Slit length</v>
      </c>
      <c r="C42" s="278"/>
      <c r="D42" s="278"/>
      <c r="E42" s="278"/>
      <c r="F42" s="267"/>
      <c r="G42" s="268"/>
      <c r="H42" s="268" t="str">
        <f t="shared" si="6"/>
        <v/>
      </c>
      <c r="I42" s="269">
        <f>'[1]Prise Mesures '!C25</f>
        <v>0</v>
      </c>
      <c r="J42" s="266" t="str">
        <f t="shared" si="1"/>
        <v>S</v>
      </c>
      <c r="K42" s="278" t="str">
        <f t="shared" si="2"/>
        <v>Hauteur fente / Slit length</v>
      </c>
      <c r="L42" s="278"/>
      <c r="M42" s="278"/>
      <c r="N42" s="278"/>
      <c r="O42" s="270">
        <f t="shared" si="5"/>
        <v>0</v>
      </c>
      <c r="P42" s="271">
        <f t="shared" ref="P42" si="9">F42</f>
        <v>0</v>
      </c>
      <c r="Q42" s="272"/>
      <c r="R42" s="272" t="str">
        <f t="shared" si="7"/>
        <v/>
      </c>
      <c r="S42" s="273">
        <f t="shared" ref="S42" si="10">P42+V42</f>
        <v>2</v>
      </c>
      <c r="T42" s="272"/>
      <c r="U42" s="272" t="str">
        <f t="shared" si="8"/>
        <v/>
      </c>
      <c r="V42" s="274">
        <v>2</v>
      </c>
      <c r="W42" s="27"/>
      <c r="X42" s="22"/>
    </row>
    <row r="43" spans="1:24" ht="15" customHeight="1" x14ac:dyDescent="0.2">
      <c r="A43" s="279" t="s">
        <v>31</v>
      </c>
      <c r="B43" s="280"/>
      <c r="C43" s="280"/>
      <c r="D43" s="280"/>
      <c r="E43" s="280"/>
      <c r="F43" s="280"/>
      <c r="G43" s="280"/>
      <c r="H43" s="280"/>
      <c r="I43" s="281"/>
      <c r="J43" s="279" t="s">
        <v>31</v>
      </c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1"/>
    </row>
    <row r="44" spans="1:24" ht="12.75" customHeight="1" x14ac:dyDescent="0.2">
      <c r="A44" s="279"/>
      <c r="B44" s="280"/>
      <c r="C44" s="280"/>
      <c r="D44" s="280"/>
      <c r="E44" s="280"/>
      <c r="F44" s="280"/>
      <c r="G44" s="280"/>
      <c r="H44" s="280"/>
      <c r="I44" s="281"/>
      <c r="J44" s="279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1"/>
    </row>
    <row r="45" spans="1:24" ht="24" customHeight="1" thickBot="1" x14ac:dyDescent="0.25">
      <c r="A45" s="282"/>
      <c r="B45" s="283"/>
      <c r="C45" s="283"/>
      <c r="D45" s="283"/>
      <c r="E45" s="283"/>
      <c r="F45" s="283"/>
      <c r="G45" s="283"/>
      <c r="H45" s="283"/>
      <c r="I45" s="284"/>
      <c r="J45" s="282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4"/>
    </row>
    <row r="58" spans="5:5" ht="23.25" x14ac:dyDescent="0.2">
      <c r="E58" s="275"/>
    </row>
    <row r="59" spans="5:5" ht="23.25" x14ac:dyDescent="0.2">
      <c r="E59" s="275"/>
    </row>
  </sheetData>
  <mergeCells count="60">
    <mergeCell ref="A1:E1"/>
    <mergeCell ref="F1:I1"/>
    <mergeCell ref="J1:R1"/>
    <mergeCell ref="S1:V1"/>
    <mergeCell ref="A2:I3"/>
    <mergeCell ref="J2:V3"/>
    <mergeCell ref="P4:R5"/>
    <mergeCell ref="A6:I21"/>
    <mergeCell ref="J6:V21"/>
    <mergeCell ref="S4:V5"/>
    <mergeCell ref="B23:E23"/>
    <mergeCell ref="K23:N23"/>
    <mergeCell ref="B22:E22"/>
    <mergeCell ref="K22:N22"/>
    <mergeCell ref="A4:B5"/>
    <mergeCell ref="C4:E5"/>
    <mergeCell ref="F4:G5"/>
    <mergeCell ref="H4:I5"/>
    <mergeCell ref="J4:K5"/>
    <mergeCell ref="L4:O5"/>
    <mergeCell ref="B24:E24"/>
    <mergeCell ref="K24:N24"/>
    <mergeCell ref="B25:E25"/>
    <mergeCell ref="K25:N25"/>
    <mergeCell ref="B26:E26"/>
    <mergeCell ref="K26:N26"/>
    <mergeCell ref="B27:E27"/>
    <mergeCell ref="K27:N27"/>
    <mergeCell ref="B28:E28"/>
    <mergeCell ref="K28:N28"/>
    <mergeCell ref="B29:E29"/>
    <mergeCell ref="K29:N29"/>
    <mergeCell ref="B30:E30"/>
    <mergeCell ref="K30:N30"/>
    <mergeCell ref="B31:E31"/>
    <mergeCell ref="K31:N31"/>
    <mergeCell ref="B32:E32"/>
    <mergeCell ref="K32:N32"/>
    <mergeCell ref="B33:E33"/>
    <mergeCell ref="K33:N33"/>
    <mergeCell ref="B34:E34"/>
    <mergeCell ref="K34:N34"/>
    <mergeCell ref="B35:E35"/>
    <mergeCell ref="K35:N35"/>
    <mergeCell ref="B36:E36"/>
    <mergeCell ref="K36:N36"/>
    <mergeCell ref="B37:E37"/>
    <mergeCell ref="K37:N37"/>
    <mergeCell ref="B38:E38"/>
    <mergeCell ref="K38:N38"/>
    <mergeCell ref="B42:E42"/>
    <mergeCell ref="K42:N42"/>
    <mergeCell ref="A43:I45"/>
    <mergeCell ref="J43:V45"/>
    <mergeCell ref="B39:E39"/>
    <mergeCell ref="K39:N39"/>
    <mergeCell ref="B40:E40"/>
    <mergeCell ref="K40:N40"/>
    <mergeCell ref="B41:E41"/>
    <mergeCell ref="K41:N41"/>
  </mergeCells>
  <conditionalFormatting sqref="H23:H42">
    <cfRule type="expression" dxfId="1" priority="2" stopIfTrue="1">
      <formula>ABS(H23)&gt;I23</formula>
    </cfRule>
  </conditionalFormatting>
  <conditionalFormatting sqref="R23:R42 U23:U42">
    <cfRule type="expression" dxfId="0" priority="1" stopIfTrue="1">
      <formula>ABS(R23)&gt;L23</formula>
    </cfRule>
  </conditionalFormatting>
  <printOptions horizontalCentered="1"/>
  <pageMargins left="0.27559055118110237" right="0.27559055118110237" top="0.19685039370078741" bottom="0" header="0" footer="0"/>
  <pageSetup paperSize="9" scale="40" fitToWidth="2" orientation="portrait" r:id="rId1"/>
  <headerFooter alignWithMargins="0"/>
  <colBreaks count="1" manualBreakCount="1">
    <brk id="9" max="4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1B35-1984-4875-8F09-96B19D910FE7}">
  <sheetPr>
    <pageSetUpPr fitToPage="1"/>
  </sheetPr>
  <dimension ref="A1:D26"/>
  <sheetViews>
    <sheetView view="pageBreakPreview" topLeftCell="A4" zoomScaleNormal="100" zoomScaleSheetLayoutView="100" workbookViewId="0">
      <selection activeCell="G6" sqref="G6:L58"/>
    </sheetView>
  </sheetViews>
  <sheetFormatPr baseColWidth="10" defaultColWidth="11.42578125" defaultRowHeight="12.75" x14ac:dyDescent="0.2"/>
  <cols>
    <col min="1" max="1" width="8.28515625" style="20" customWidth="1"/>
    <col min="2" max="2" width="79.42578125" style="20" customWidth="1"/>
    <col min="3" max="3" width="12.5703125" style="20" customWidth="1"/>
    <col min="4" max="16384" width="11.42578125" style="20"/>
  </cols>
  <sheetData>
    <row r="1" spans="1:4" ht="15" x14ac:dyDescent="0.25">
      <c r="A1" s="490" t="s">
        <v>0</v>
      </c>
      <c r="B1" s="491"/>
      <c r="C1" s="492"/>
    </row>
    <row r="2" spans="1:4" x14ac:dyDescent="0.2">
      <c r="A2" s="493" t="s">
        <v>21</v>
      </c>
      <c r="B2" s="494"/>
      <c r="C2" s="495"/>
    </row>
    <row r="3" spans="1:4" ht="20.25" customHeight="1" x14ac:dyDescent="0.2">
      <c r="A3" s="493"/>
      <c r="B3" s="494"/>
      <c r="C3" s="495"/>
    </row>
    <row r="4" spans="1:4" ht="177.75" customHeight="1" x14ac:dyDescent="0.2">
      <c r="A4" s="496"/>
      <c r="B4" s="497"/>
      <c r="C4" s="498"/>
    </row>
    <row r="5" spans="1:4" ht="338.25" customHeight="1" thickBot="1" x14ac:dyDescent="0.25">
      <c r="A5" s="496"/>
      <c r="B5" s="497"/>
      <c r="C5" s="498"/>
    </row>
    <row r="6" spans="1:4" ht="18.75" customHeight="1" thickBot="1" x14ac:dyDescent="0.25">
      <c r="A6" s="250" t="s">
        <v>20</v>
      </c>
      <c r="B6" s="251" t="s">
        <v>25</v>
      </c>
      <c r="C6" s="252" t="s">
        <v>111</v>
      </c>
    </row>
    <row r="7" spans="1:4" ht="12.75" customHeight="1" x14ac:dyDescent="0.2">
      <c r="A7" s="253" t="s">
        <v>4</v>
      </c>
      <c r="B7" s="254" t="s">
        <v>159</v>
      </c>
      <c r="C7" s="255">
        <v>0.5</v>
      </c>
    </row>
    <row r="8" spans="1:4" ht="12.75" customHeight="1" x14ac:dyDescent="0.2">
      <c r="A8" s="186" t="s">
        <v>5</v>
      </c>
      <c r="B8" s="187" t="s">
        <v>158</v>
      </c>
      <c r="C8" s="249">
        <v>0.5</v>
      </c>
    </row>
    <row r="9" spans="1:4" ht="12.75" customHeight="1" x14ac:dyDescent="0.2">
      <c r="A9" s="242" t="s">
        <v>6</v>
      </c>
      <c r="B9" s="243" t="s">
        <v>47</v>
      </c>
      <c r="C9" s="248">
        <v>0.2</v>
      </c>
    </row>
    <row r="10" spans="1:4" ht="12.75" customHeight="1" x14ac:dyDescent="0.2">
      <c r="A10" s="245" t="s">
        <v>7</v>
      </c>
      <c r="B10" s="246" t="s">
        <v>151</v>
      </c>
      <c r="C10" s="249">
        <v>0.2</v>
      </c>
    </row>
    <row r="11" spans="1:4" ht="12.75" customHeight="1" x14ac:dyDescent="0.2">
      <c r="A11" s="242" t="s">
        <v>153</v>
      </c>
      <c r="B11" s="243" t="s">
        <v>154</v>
      </c>
      <c r="C11" s="248">
        <v>0</v>
      </c>
    </row>
    <row r="12" spans="1:4" ht="12.75" customHeight="1" x14ac:dyDescent="0.2">
      <c r="A12" s="245" t="s">
        <v>8</v>
      </c>
      <c r="B12" s="246" t="s">
        <v>112</v>
      </c>
      <c r="C12" s="249">
        <v>0.5</v>
      </c>
    </row>
    <row r="13" spans="1:4" x14ac:dyDescent="0.2">
      <c r="A13" s="242" t="s">
        <v>9</v>
      </c>
      <c r="B13" s="244" t="s">
        <v>113</v>
      </c>
      <c r="C13" s="256" t="s">
        <v>114</v>
      </c>
    </row>
    <row r="14" spans="1:4" x14ac:dyDescent="0.2">
      <c r="A14" s="245" t="s">
        <v>10</v>
      </c>
      <c r="B14" s="247" t="s">
        <v>48</v>
      </c>
      <c r="C14" s="257">
        <v>0.5</v>
      </c>
    </row>
    <row r="15" spans="1:4" x14ac:dyDescent="0.2">
      <c r="A15" s="242" t="s">
        <v>11</v>
      </c>
      <c r="B15" s="244" t="s">
        <v>115</v>
      </c>
      <c r="C15" s="256">
        <v>0.2</v>
      </c>
    </row>
    <row r="16" spans="1:4" x14ac:dyDescent="0.2">
      <c r="A16" s="245" t="s">
        <v>12</v>
      </c>
      <c r="B16" s="247" t="s">
        <v>155</v>
      </c>
      <c r="C16" s="257">
        <v>0.5</v>
      </c>
      <c r="D16" s="188"/>
    </row>
    <row r="17" spans="1:3" ht="12.75" customHeight="1" x14ac:dyDescent="0.2">
      <c r="A17" s="242" t="s">
        <v>13</v>
      </c>
      <c r="B17" s="243" t="s">
        <v>116</v>
      </c>
      <c r="C17" s="248">
        <v>0.5</v>
      </c>
    </row>
    <row r="18" spans="1:3" ht="12.75" customHeight="1" x14ac:dyDescent="0.2">
      <c r="A18" s="245" t="s">
        <v>14</v>
      </c>
      <c r="B18" s="246" t="s">
        <v>164</v>
      </c>
      <c r="C18" s="249">
        <v>0.5</v>
      </c>
    </row>
    <row r="19" spans="1:3" ht="12.75" customHeight="1" x14ac:dyDescent="0.2">
      <c r="A19" s="242" t="s">
        <v>15</v>
      </c>
      <c r="B19" s="243" t="s">
        <v>117</v>
      </c>
      <c r="C19" s="248">
        <v>0.5</v>
      </c>
    </row>
    <row r="20" spans="1:3" ht="12.75" customHeight="1" x14ac:dyDescent="0.2">
      <c r="A20" s="245" t="s">
        <v>16</v>
      </c>
      <c r="B20" s="246" t="s">
        <v>118</v>
      </c>
      <c r="C20" s="249">
        <v>0.5</v>
      </c>
    </row>
    <row r="21" spans="1:3" ht="12.75" customHeight="1" x14ac:dyDescent="0.2">
      <c r="A21" s="242" t="s">
        <v>2</v>
      </c>
      <c r="B21" s="243" t="s">
        <v>120</v>
      </c>
      <c r="C21" s="248">
        <v>0</v>
      </c>
    </row>
    <row r="22" spans="1:3" ht="12.75" customHeight="1" x14ac:dyDescent="0.2">
      <c r="A22" s="245" t="s">
        <v>152</v>
      </c>
      <c r="B22" s="246" t="s">
        <v>49</v>
      </c>
      <c r="C22" s="249">
        <v>1</v>
      </c>
    </row>
    <row r="23" spans="1:3" ht="12.75" customHeight="1" x14ac:dyDescent="0.2">
      <c r="A23" s="242" t="s">
        <v>172</v>
      </c>
      <c r="B23" s="243" t="s">
        <v>173</v>
      </c>
      <c r="C23" s="248">
        <v>1</v>
      </c>
    </row>
    <row r="24" spans="1:3" ht="12.75" customHeight="1" x14ac:dyDescent="0.2">
      <c r="A24" s="245" t="s">
        <v>17</v>
      </c>
      <c r="B24" s="246" t="s">
        <v>119</v>
      </c>
      <c r="C24" s="249">
        <v>1</v>
      </c>
    </row>
    <row r="25" spans="1:3" ht="12.75" customHeight="1" x14ac:dyDescent="0.2">
      <c r="A25" s="242" t="s">
        <v>18</v>
      </c>
      <c r="B25" s="243" t="s">
        <v>157</v>
      </c>
      <c r="C25" s="248">
        <v>0.5</v>
      </c>
    </row>
    <row r="26" spans="1:3" ht="12.75" customHeight="1" thickBot="1" x14ac:dyDescent="0.25">
      <c r="A26" s="258" t="s">
        <v>19</v>
      </c>
      <c r="B26" s="259" t="s">
        <v>156</v>
      </c>
      <c r="C26" s="260">
        <v>0</v>
      </c>
    </row>
  </sheetData>
  <mergeCells count="3">
    <mergeCell ref="A1:C1"/>
    <mergeCell ref="A2:C3"/>
    <mergeCell ref="A4:C5"/>
  </mergeCells>
  <printOptions horizontalCentered="1" verticalCentered="1"/>
  <pageMargins left="0.27559055118110237" right="0.27559055118110237" top="0.24" bottom="0.23" header="0" footer="0"/>
  <pageSetup paperSize="9" scale="99" fitToWidth="0" orientation="portrait" r:id="rId1"/>
  <headerFooter alignWithMargins="0"/>
  <rowBreaks count="1" manualBreakCount="1">
    <brk id="5" max="2" man="1"/>
  </rowBreaks>
  <ignoredErrors>
    <ignoredError sqref="C13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DFCD-F066-406F-AC0D-E0F0F6F49BC9}">
  <sheetPr>
    <pageSetUpPr fitToPage="1"/>
  </sheetPr>
  <dimension ref="A1:P179"/>
  <sheetViews>
    <sheetView view="pageBreakPreview" zoomScaleNormal="100" zoomScaleSheetLayoutView="100" workbookViewId="0">
      <selection activeCell="A3" sqref="A3:B3"/>
    </sheetView>
  </sheetViews>
  <sheetFormatPr baseColWidth="10" defaultColWidth="11.42578125" defaultRowHeight="14.25" x14ac:dyDescent="0.2"/>
  <cols>
    <col min="1" max="1" width="16.7109375" style="38" customWidth="1"/>
    <col min="2" max="2" width="15" style="38" customWidth="1"/>
    <col min="3" max="3" width="21.7109375" style="38" customWidth="1"/>
    <col min="4" max="4" width="6.42578125" style="38" bestFit="1" customWidth="1"/>
    <col min="5" max="5" width="19.7109375" style="38" customWidth="1"/>
    <col min="6" max="8" width="15.7109375" style="38" customWidth="1"/>
    <col min="9" max="9" width="13.140625" style="38" customWidth="1"/>
    <col min="10" max="10" width="13.42578125" style="38" customWidth="1"/>
    <col min="11" max="16384" width="11.42578125" style="38"/>
  </cols>
  <sheetData>
    <row r="1" spans="1:16" ht="18" customHeight="1" x14ac:dyDescent="0.2">
      <c r="A1" s="499"/>
      <c r="B1" s="500"/>
      <c r="C1" s="503" t="s">
        <v>121</v>
      </c>
      <c r="D1" s="504"/>
      <c r="E1" s="504"/>
      <c r="F1" s="505"/>
      <c r="G1" s="509" t="s">
        <v>44</v>
      </c>
      <c r="H1" s="510"/>
      <c r="K1" s="39"/>
      <c r="L1" s="513"/>
      <c r="M1" s="513"/>
      <c r="N1" s="513"/>
      <c r="O1" s="513"/>
      <c r="P1" s="40"/>
    </row>
    <row r="2" spans="1:16" ht="16.5" customHeight="1" thickBot="1" x14ac:dyDescent="0.25">
      <c r="A2" s="501"/>
      <c r="B2" s="502"/>
      <c r="C2" s="506"/>
      <c r="D2" s="507"/>
      <c r="E2" s="507"/>
      <c r="F2" s="508"/>
      <c r="G2" s="511"/>
      <c r="H2" s="512"/>
      <c r="K2" s="514"/>
      <c r="L2" s="514"/>
      <c r="M2" s="514"/>
      <c r="N2" s="514"/>
      <c r="O2" s="514"/>
      <c r="P2" s="514"/>
    </row>
    <row r="3" spans="1:16" s="194" customFormat="1" ht="21.75" customHeight="1" thickBot="1" x14ac:dyDescent="0.25">
      <c r="A3" s="560" t="str">
        <f>'CROQUIS '!$E$5</f>
        <v>Thème :  1EVA32</v>
      </c>
      <c r="B3" s="519"/>
      <c r="C3" s="518" t="str">
        <f>'CROQUIS '!$G$5</f>
        <v>Modèle : V09413 BELL</v>
      </c>
      <c r="D3" s="519"/>
      <c r="E3" s="193" t="str">
        <f>'CROQUIS '!$C$5</f>
        <v>Saison : 26H</v>
      </c>
      <c r="F3" s="520" t="s">
        <v>45</v>
      </c>
      <c r="G3" s="521"/>
      <c r="H3" s="522"/>
      <c r="K3" s="41"/>
      <c r="L3" s="523"/>
      <c r="M3" s="523"/>
      <c r="N3" s="523"/>
      <c r="O3" s="41"/>
      <c r="P3" s="42"/>
    </row>
    <row r="4" spans="1:16" ht="17.100000000000001" customHeight="1" x14ac:dyDescent="0.2">
      <c r="A4" s="524" t="s">
        <v>122</v>
      </c>
      <c r="B4" s="525"/>
      <c r="C4" s="525"/>
      <c r="D4" s="525"/>
      <c r="E4" s="525"/>
      <c r="F4" s="528" t="s">
        <v>123</v>
      </c>
      <c r="G4" s="529"/>
      <c r="H4" s="530"/>
      <c r="K4" s="41"/>
      <c r="L4" s="43"/>
      <c r="M4" s="43"/>
      <c r="N4" s="534"/>
      <c r="O4" s="534"/>
      <c r="P4" s="44"/>
    </row>
    <row r="5" spans="1:16" ht="15" thickBot="1" x14ac:dyDescent="0.25">
      <c r="A5" s="526"/>
      <c r="B5" s="527"/>
      <c r="C5" s="527"/>
      <c r="D5" s="527"/>
      <c r="E5" s="527"/>
      <c r="F5" s="531"/>
      <c r="G5" s="532"/>
      <c r="H5" s="533"/>
    </row>
    <row r="6" spans="1:16" ht="15" x14ac:dyDescent="0.2">
      <c r="A6" s="526"/>
      <c r="B6" s="527"/>
      <c r="C6" s="527"/>
      <c r="D6" s="527"/>
      <c r="E6" s="527"/>
      <c r="F6" s="195" t="s">
        <v>64</v>
      </c>
      <c r="G6" s="196"/>
      <c r="H6" s="197"/>
    </row>
    <row r="7" spans="1:16" x14ac:dyDescent="0.2">
      <c r="A7" s="526"/>
      <c r="B7" s="527"/>
      <c r="C7" s="527"/>
      <c r="D7" s="527"/>
      <c r="E7" s="527"/>
      <c r="F7" s="198" t="s">
        <v>124</v>
      </c>
      <c r="G7" s="199"/>
      <c r="H7" s="200"/>
    </row>
    <row r="8" spans="1:16" x14ac:dyDescent="0.2">
      <c r="A8" s="526"/>
      <c r="B8" s="527"/>
      <c r="C8" s="527"/>
      <c r="D8" s="527"/>
      <c r="E8" s="527"/>
      <c r="F8" s="198" t="s">
        <v>125</v>
      </c>
      <c r="G8" s="199"/>
      <c r="H8" s="200"/>
    </row>
    <row r="9" spans="1:16" x14ac:dyDescent="0.2">
      <c r="A9" s="526"/>
      <c r="B9" s="527"/>
      <c r="C9" s="527"/>
      <c r="D9" s="527"/>
      <c r="E9" s="527"/>
      <c r="F9" s="198" t="s">
        <v>126</v>
      </c>
      <c r="G9" s="199"/>
      <c r="H9" s="200"/>
    </row>
    <row r="10" spans="1:16" ht="20.100000000000001" customHeight="1" thickBot="1" x14ac:dyDescent="0.25">
      <c r="A10" s="526"/>
      <c r="B10" s="527"/>
      <c r="C10" s="527"/>
      <c r="D10" s="527"/>
      <c r="E10" s="527"/>
      <c r="F10" s="535"/>
      <c r="G10" s="536"/>
      <c r="H10" s="537"/>
    </row>
    <row r="11" spans="1:16" x14ac:dyDescent="0.2">
      <c r="A11" s="526"/>
      <c r="B11" s="527"/>
      <c r="C11" s="527"/>
      <c r="D11" s="527"/>
      <c r="E11" s="527"/>
      <c r="F11" s="538" t="s">
        <v>127</v>
      </c>
      <c r="G11" s="539"/>
      <c r="H11" s="542"/>
    </row>
    <row r="12" spans="1:16" ht="15" thickBot="1" x14ac:dyDescent="0.25">
      <c r="A12" s="526"/>
      <c r="B12" s="527"/>
      <c r="C12" s="527"/>
      <c r="D12" s="527"/>
      <c r="E12" s="527"/>
      <c r="F12" s="540"/>
      <c r="G12" s="541"/>
      <c r="H12" s="543"/>
    </row>
    <row r="13" spans="1:16" x14ac:dyDescent="0.2">
      <c r="A13" s="526"/>
      <c r="B13" s="527"/>
      <c r="C13" s="527"/>
      <c r="D13" s="527"/>
      <c r="E13" s="527"/>
      <c r="F13" s="538" t="s">
        <v>128</v>
      </c>
      <c r="G13" s="539"/>
      <c r="H13" s="542"/>
    </row>
    <row r="14" spans="1:16" ht="15" thickBot="1" x14ac:dyDescent="0.25">
      <c r="A14" s="526"/>
      <c r="B14" s="527"/>
      <c r="C14" s="527"/>
      <c r="D14" s="527"/>
      <c r="E14" s="527"/>
      <c r="F14" s="540"/>
      <c r="G14" s="541"/>
      <c r="H14" s="543"/>
    </row>
    <row r="15" spans="1:16" ht="17.25" customHeight="1" x14ac:dyDescent="0.2">
      <c r="A15" s="526"/>
      <c r="B15" s="527"/>
      <c r="C15" s="527"/>
      <c r="D15" s="527"/>
      <c r="E15" s="527"/>
      <c r="F15" s="195" t="s">
        <v>129</v>
      </c>
      <c r="G15" s="201"/>
      <c r="H15" s="202"/>
    </row>
    <row r="16" spans="1:16" ht="14.25" customHeight="1" x14ac:dyDescent="0.2">
      <c r="A16" s="526"/>
      <c r="B16" s="527"/>
      <c r="C16" s="527"/>
      <c r="D16" s="527"/>
      <c r="E16" s="527"/>
      <c r="F16" s="198" t="s">
        <v>130</v>
      </c>
      <c r="G16" s="203"/>
      <c r="H16" s="204"/>
    </row>
    <row r="17" spans="1:10" ht="15" customHeight="1" x14ac:dyDescent="0.2">
      <c r="A17" s="526"/>
      <c r="B17" s="527"/>
      <c r="C17" s="527"/>
      <c r="D17" s="527"/>
      <c r="E17" s="527"/>
      <c r="F17" s="198" t="s">
        <v>131</v>
      </c>
      <c r="G17" s="203"/>
      <c r="H17" s="204"/>
    </row>
    <row r="18" spans="1:10" ht="14.1" customHeight="1" thickBot="1" x14ac:dyDescent="0.25">
      <c r="A18" s="526"/>
      <c r="B18" s="527"/>
      <c r="C18" s="527"/>
      <c r="D18" s="527"/>
      <c r="E18" s="527"/>
      <c r="F18" s="198" t="s">
        <v>132</v>
      </c>
      <c r="G18" s="203"/>
      <c r="H18" s="204"/>
    </row>
    <row r="19" spans="1:10" ht="15" customHeight="1" x14ac:dyDescent="0.25">
      <c r="A19" s="548" t="s">
        <v>70</v>
      </c>
      <c r="B19" s="549"/>
      <c r="C19" s="549"/>
      <c r="D19" s="550" t="s">
        <v>133</v>
      </c>
      <c r="E19" s="515" t="s">
        <v>134</v>
      </c>
      <c r="F19" s="515"/>
      <c r="G19" s="515"/>
      <c r="H19" s="544"/>
    </row>
    <row r="20" spans="1:10" ht="15" x14ac:dyDescent="0.25">
      <c r="A20" s="205"/>
      <c r="B20" s="206"/>
      <c r="C20" s="206"/>
      <c r="D20" s="551"/>
      <c r="E20" s="516"/>
      <c r="F20" s="516"/>
      <c r="G20" s="516"/>
      <c r="H20" s="545"/>
    </row>
    <row r="21" spans="1:10" ht="15.75" thickBot="1" x14ac:dyDescent="0.3">
      <c r="A21" s="207"/>
      <c r="B21" s="547" t="s">
        <v>135</v>
      </c>
      <c r="C21" s="547"/>
      <c r="D21" s="552"/>
      <c r="E21" s="517"/>
      <c r="F21" s="517"/>
      <c r="G21" s="517"/>
      <c r="H21" s="546"/>
      <c r="I21" s="45"/>
      <c r="J21" s="46"/>
    </row>
    <row r="22" spans="1:10" ht="14.1" customHeight="1" x14ac:dyDescent="0.2">
      <c r="A22" s="208" t="s">
        <v>136</v>
      </c>
      <c r="B22" s="209"/>
      <c r="C22" s="210"/>
      <c r="D22" s="558"/>
      <c r="E22" s="559"/>
      <c r="F22" s="559"/>
      <c r="G22" s="553"/>
      <c r="H22" s="555"/>
      <c r="I22" s="45"/>
      <c r="J22" s="46"/>
    </row>
    <row r="23" spans="1:10" ht="14.1" customHeight="1" x14ac:dyDescent="0.2">
      <c r="A23" s="211"/>
      <c r="B23" s="212"/>
      <c r="C23" s="210"/>
      <c r="D23" s="557"/>
      <c r="E23" s="516"/>
      <c r="F23" s="516"/>
      <c r="G23" s="554"/>
      <c r="H23" s="556"/>
      <c r="I23" s="45"/>
      <c r="J23" s="46"/>
    </row>
    <row r="24" spans="1:10" ht="14.1" customHeight="1" x14ac:dyDescent="0.2">
      <c r="A24" s="213"/>
      <c r="B24" s="210"/>
      <c r="C24" s="210"/>
      <c r="D24" s="557"/>
      <c r="E24" s="516"/>
      <c r="F24" s="516"/>
      <c r="G24" s="554"/>
      <c r="H24" s="556"/>
      <c r="J24" s="46"/>
    </row>
    <row r="25" spans="1:10" ht="14.1" customHeight="1" x14ac:dyDescent="0.2">
      <c r="A25" s="213"/>
      <c r="B25" s="214"/>
      <c r="C25" s="210"/>
      <c r="D25" s="557"/>
      <c r="E25" s="516"/>
      <c r="F25" s="516"/>
      <c r="G25" s="554"/>
      <c r="H25" s="556"/>
      <c r="I25" s="73"/>
      <c r="J25" s="46"/>
    </row>
    <row r="26" spans="1:10" ht="14.1" customHeight="1" x14ac:dyDescent="0.2">
      <c r="A26" s="213"/>
      <c r="B26" s="210"/>
      <c r="C26" s="210"/>
      <c r="D26" s="557"/>
      <c r="E26" s="516"/>
      <c r="F26" s="516"/>
      <c r="G26" s="554"/>
      <c r="H26" s="556"/>
      <c r="J26" s="48"/>
    </row>
    <row r="27" spans="1:10" ht="14.1" customHeight="1" x14ac:dyDescent="0.2">
      <c r="A27" s="215"/>
      <c r="B27" s="216"/>
      <c r="C27" s="216"/>
      <c r="D27" s="557"/>
      <c r="E27" s="516"/>
      <c r="F27" s="516"/>
      <c r="G27" s="554"/>
      <c r="H27" s="556"/>
      <c r="I27" s="45"/>
      <c r="J27" s="46"/>
    </row>
    <row r="28" spans="1:10" ht="14.1" customHeight="1" x14ac:dyDescent="0.2">
      <c r="A28" s="217" t="s">
        <v>137</v>
      </c>
      <c r="B28" s="218"/>
      <c r="C28" s="219"/>
      <c r="D28" s="557"/>
      <c r="E28" s="516"/>
      <c r="F28" s="516"/>
      <c r="G28" s="554"/>
      <c r="H28" s="556"/>
      <c r="I28" s="81"/>
      <c r="J28" s="82"/>
    </row>
    <row r="29" spans="1:10" ht="14.1" customHeight="1" x14ac:dyDescent="0.2">
      <c r="A29" s="211"/>
      <c r="B29" s="212"/>
      <c r="C29" s="210"/>
      <c r="D29" s="557"/>
      <c r="E29" s="516"/>
      <c r="F29" s="516"/>
      <c r="G29" s="554"/>
      <c r="H29" s="556"/>
      <c r="I29" s="81"/>
      <c r="J29" s="83"/>
    </row>
    <row r="30" spans="1:10" ht="12.75" customHeight="1" x14ac:dyDescent="0.2">
      <c r="A30" s="213"/>
      <c r="B30" s="210"/>
      <c r="C30" s="210"/>
      <c r="D30" s="557"/>
      <c r="E30" s="516"/>
      <c r="F30" s="516"/>
      <c r="G30" s="554"/>
      <c r="H30" s="556"/>
    </row>
    <row r="31" spans="1:10" ht="12" customHeight="1" x14ac:dyDescent="0.2">
      <c r="A31" s="211"/>
      <c r="B31" s="210"/>
      <c r="C31" s="210"/>
      <c r="D31" s="557"/>
      <c r="E31" s="516"/>
      <c r="F31" s="516"/>
      <c r="G31" s="554"/>
      <c r="H31" s="556"/>
    </row>
    <row r="32" spans="1:10" ht="14.1" customHeight="1" x14ac:dyDescent="0.2">
      <c r="A32" s="211"/>
      <c r="B32" s="210"/>
      <c r="C32" s="220"/>
      <c r="D32" s="557"/>
      <c r="E32" s="516"/>
      <c r="F32" s="516"/>
      <c r="G32" s="554"/>
      <c r="H32" s="556"/>
    </row>
    <row r="33" spans="1:8" ht="14.1" customHeight="1" x14ac:dyDescent="0.2">
      <c r="A33" s="213"/>
      <c r="B33" s="214"/>
      <c r="C33" s="210"/>
      <c r="D33" s="557"/>
      <c r="E33" s="516"/>
      <c r="F33" s="516"/>
      <c r="G33" s="554"/>
      <c r="H33" s="556"/>
    </row>
    <row r="34" spans="1:8" ht="14.1" customHeight="1" x14ac:dyDescent="0.2">
      <c r="A34" s="217" t="s">
        <v>138</v>
      </c>
      <c r="B34" s="221"/>
      <c r="C34" s="222"/>
      <c r="D34" s="557"/>
      <c r="E34" s="516"/>
      <c r="F34" s="516"/>
      <c r="G34" s="554"/>
      <c r="H34" s="556"/>
    </row>
    <row r="35" spans="1:8" ht="14.1" customHeight="1" x14ac:dyDescent="0.2">
      <c r="A35" s="146"/>
      <c r="B35" s="20"/>
      <c r="C35" s="223"/>
      <c r="D35" s="557"/>
      <c r="E35" s="516"/>
      <c r="F35" s="516"/>
      <c r="G35" s="554"/>
      <c r="H35" s="556"/>
    </row>
    <row r="36" spans="1:8" ht="14.1" customHeight="1" x14ac:dyDescent="0.2">
      <c r="A36" s="224"/>
      <c r="B36" s="223"/>
      <c r="C36" s="223"/>
      <c r="D36" s="557"/>
      <c r="E36" s="516"/>
      <c r="F36" s="516"/>
      <c r="G36" s="554"/>
      <c r="H36" s="556"/>
    </row>
    <row r="37" spans="1:8" ht="14.1" customHeight="1" x14ac:dyDescent="0.2">
      <c r="A37" s="225"/>
      <c r="B37" s="226"/>
      <c r="C37" s="226"/>
      <c r="D37" s="557"/>
      <c r="E37" s="516"/>
      <c r="F37" s="516"/>
      <c r="G37" s="554"/>
      <c r="H37" s="556"/>
    </row>
    <row r="38" spans="1:8" ht="14.1" customHeight="1" x14ac:dyDescent="0.2">
      <c r="A38" s="225"/>
      <c r="B38" s="226"/>
      <c r="C38" s="227"/>
      <c r="D38" s="557"/>
      <c r="E38" s="516"/>
      <c r="F38" s="516"/>
      <c r="G38" s="554"/>
      <c r="H38" s="556"/>
    </row>
    <row r="39" spans="1:8" ht="14.1" customHeight="1" x14ac:dyDescent="0.2">
      <c r="A39" s="228"/>
      <c r="B39" s="229"/>
      <c r="C39" s="226"/>
      <c r="D39" s="557"/>
      <c r="E39" s="516"/>
      <c r="F39" s="516"/>
      <c r="G39" s="554"/>
      <c r="H39" s="556"/>
    </row>
    <row r="40" spans="1:8" ht="14.1" customHeight="1" x14ac:dyDescent="0.2">
      <c r="A40" s="217" t="s">
        <v>139</v>
      </c>
      <c r="B40" s="54"/>
      <c r="C40" s="230"/>
      <c r="D40" s="557"/>
      <c r="E40" s="516"/>
      <c r="F40" s="516"/>
      <c r="G40" s="554"/>
      <c r="H40" s="556"/>
    </row>
    <row r="41" spans="1:8" ht="14.1" customHeight="1" x14ac:dyDescent="0.2">
      <c r="A41" s="52" t="s">
        <v>53</v>
      </c>
      <c r="C41" s="48"/>
      <c r="D41" s="557"/>
      <c r="E41" s="516"/>
      <c r="F41" s="516"/>
      <c r="G41" s="554"/>
      <c r="H41" s="556"/>
    </row>
    <row r="42" spans="1:8" ht="14.1" customHeight="1" x14ac:dyDescent="0.2">
      <c r="A42" s="61"/>
      <c r="B42" s="48"/>
      <c r="C42" s="48"/>
      <c r="D42" s="557"/>
      <c r="E42" s="516"/>
      <c r="F42" s="516"/>
      <c r="G42" s="554"/>
      <c r="H42" s="556"/>
    </row>
    <row r="43" spans="1:8" ht="14.1" customHeight="1" x14ac:dyDescent="0.2">
      <c r="A43" s="52"/>
      <c r="B43" s="48"/>
      <c r="C43" s="48"/>
      <c r="D43" s="557"/>
      <c r="E43" s="516"/>
      <c r="F43" s="516"/>
      <c r="G43" s="554"/>
      <c r="H43" s="556"/>
    </row>
    <row r="44" spans="1:8" ht="14.1" customHeight="1" x14ac:dyDescent="0.2">
      <c r="A44" s="52"/>
      <c r="B44" s="48"/>
      <c r="C44" s="46"/>
      <c r="D44" s="557"/>
      <c r="E44" s="516"/>
      <c r="F44" s="516"/>
      <c r="G44" s="554"/>
      <c r="H44" s="556"/>
    </row>
    <row r="45" spans="1:8" ht="15" customHeight="1" x14ac:dyDescent="0.2">
      <c r="A45" s="61"/>
      <c r="B45" s="70"/>
      <c r="C45" s="48"/>
      <c r="D45" s="557"/>
      <c r="E45" s="516"/>
      <c r="F45" s="516"/>
      <c r="G45" s="554"/>
      <c r="H45" s="556"/>
    </row>
    <row r="46" spans="1:8" ht="14.25" customHeight="1" x14ac:dyDescent="0.2">
      <c r="A46" s="87"/>
      <c r="B46" s="88"/>
      <c r="C46" s="94"/>
      <c r="D46" s="557"/>
      <c r="E46" s="516"/>
      <c r="F46" s="516"/>
      <c r="G46" s="554"/>
      <c r="H46" s="556"/>
    </row>
    <row r="47" spans="1:8" ht="12.75" customHeight="1" x14ac:dyDescent="0.2">
      <c r="A47" s="52"/>
      <c r="D47" s="557"/>
      <c r="E47" s="516"/>
      <c r="F47" s="516"/>
      <c r="G47" s="554"/>
      <c r="H47" s="556"/>
    </row>
    <row r="48" spans="1:8" ht="15" customHeight="1" x14ac:dyDescent="0.2">
      <c r="A48" s="52"/>
      <c r="D48" s="557"/>
      <c r="E48" s="516"/>
      <c r="F48" s="516"/>
      <c r="G48" s="554"/>
      <c r="H48" s="556"/>
    </row>
    <row r="49" spans="1:9" ht="15" customHeight="1" x14ac:dyDescent="0.2">
      <c r="A49" s="52"/>
      <c r="D49" s="557"/>
      <c r="E49" s="516"/>
      <c r="F49" s="516"/>
      <c r="G49" s="554"/>
      <c r="H49" s="556"/>
    </row>
    <row r="50" spans="1:9" ht="12.75" customHeight="1" x14ac:dyDescent="0.2">
      <c r="A50" s="52"/>
      <c r="D50" s="557"/>
      <c r="E50" s="516"/>
      <c r="F50" s="516"/>
      <c r="G50" s="554"/>
      <c r="H50" s="556"/>
    </row>
    <row r="51" spans="1:9" ht="14.1" customHeight="1" x14ac:dyDescent="0.2">
      <c r="A51" s="52"/>
      <c r="D51" s="557"/>
      <c r="E51" s="516"/>
      <c r="F51" s="516"/>
      <c r="G51" s="554"/>
      <c r="H51" s="556"/>
    </row>
    <row r="52" spans="1:9" ht="14.1" customHeight="1" x14ac:dyDescent="0.2">
      <c r="A52" s="217" t="s">
        <v>140</v>
      </c>
      <c r="B52" s="88"/>
      <c r="C52" s="94"/>
      <c r="D52" s="557">
        <v>1</v>
      </c>
      <c r="E52" s="565"/>
      <c r="F52" s="565"/>
      <c r="G52" s="565"/>
      <c r="H52" s="566"/>
      <c r="I52" s="38" t="s">
        <v>141</v>
      </c>
    </row>
    <row r="53" spans="1:9" ht="14.1" customHeight="1" x14ac:dyDescent="0.2">
      <c r="A53" s="208" t="s">
        <v>76</v>
      </c>
      <c r="B53" s="51"/>
      <c r="D53" s="557"/>
      <c r="E53" s="565"/>
      <c r="F53" s="565"/>
      <c r="G53" s="565"/>
      <c r="H53" s="566"/>
      <c r="I53" s="38" t="s">
        <v>142</v>
      </c>
    </row>
    <row r="54" spans="1:9" ht="14.1" customHeight="1" x14ac:dyDescent="0.2">
      <c r="A54" s="52"/>
      <c r="D54" s="557"/>
      <c r="E54" s="565"/>
      <c r="F54" s="565"/>
      <c r="G54" s="565"/>
      <c r="H54" s="566"/>
      <c r="I54" s="38" t="s">
        <v>143</v>
      </c>
    </row>
    <row r="55" spans="1:9" ht="14.1" customHeight="1" x14ac:dyDescent="0.2">
      <c r="A55" s="52"/>
      <c r="D55" s="557"/>
      <c r="E55" s="565"/>
      <c r="F55" s="565"/>
      <c r="G55" s="565"/>
      <c r="H55" s="566"/>
    </row>
    <row r="56" spans="1:9" ht="14.1" customHeight="1" x14ac:dyDescent="0.2">
      <c r="A56" s="52"/>
      <c r="D56" s="557"/>
      <c r="E56" s="565"/>
      <c r="F56" s="565"/>
      <c r="G56" s="565"/>
      <c r="H56" s="566"/>
    </row>
    <row r="57" spans="1:9" ht="14.1" customHeight="1" x14ac:dyDescent="0.2">
      <c r="A57" s="52"/>
      <c r="D57" s="557"/>
      <c r="E57" s="565"/>
      <c r="F57" s="565"/>
      <c r="G57" s="565"/>
      <c r="H57" s="566"/>
    </row>
    <row r="58" spans="1:9" ht="14.1" customHeight="1" x14ac:dyDescent="0.2">
      <c r="A58" s="217" t="s">
        <v>144</v>
      </c>
      <c r="B58" s="94"/>
      <c r="C58" s="230"/>
      <c r="D58" s="565">
        <v>1</v>
      </c>
      <c r="E58" s="565"/>
      <c r="F58" s="565"/>
      <c r="G58" s="565"/>
      <c r="H58" s="566"/>
    </row>
    <row r="59" spans="1:9" ht="14.1" customHeight="1" x14ac:dyDescent="0.2">
      <c r="A59" s="50" t="s">
        <v>76</v>
      </c>
      <c r="C59" s="48"/>
      <c r="D59" s="565"/>
      <c r="E59" s="565"/>
      <c r="F59" s="565"/>
      <c r="G59" s="565"/>
      <c r="H59" s="566"/>
    </row>
    <row r="60" spans="1:9" ht="14.1" customHeight="1" x14ac:dyDescent="0.2">
      <c r="A60" s="231" t="s">
        <v>145</v>
      </c>
      <c r="B60" s="96"/>
      <c r="C60" s="48"/>
      <c r="D60" s="565"/>
      <c r="E60" s="565"/>
      <c r="F60" s="565"/>
      <c r="G60" s="565"/>
      <c r="H60" s="566"/>
    </row>
    <row r="61" spans="1:9" ht="14.1" customHeight="1" x14ac:dyDescent="0.2">
      <c r="A61" s="232"/>
      <c r="B61" s="96"/>
      <c r="C61" s="46"/>
      <c r="D61" s="565"/>
      <c r="E61" s="565"/>
      <c r="F61" s="565"/>
      <c r="G61" s="565"/>
      <c r="H61" s="566"/>
    </row>
    <row r="62" spans="1:9" ht="14.1" customHeight="1" x14ac:dyDescent="0.2">
      <c r="A62" s="87" t="s">
        <v>76</v>
      </c>
      <c r="B62" s="94"/>
      <c r="C62" s="230"/>
      <c r="D62" s="565">
        <v>1</v>
      </c>
      <c r="E62" s="565"/>
      <c r="F62" s="565"/>
      <c r="G62" s="565"/>
      <c r="H62" s="566"/>
      <c r="I62" s="38" t="s">
        <v>146</v>
      </c>
    </row>
    <row r="63" spans="1:9" ht="14.1" customHeight="1" x14ac:dyDescent="0.2">
      <c r="A63" s="569"/>
      <c r="B63" s="570"/>
      <c r="C63" s="570"/>
      <c r="D63" s="565"/>
      <c r="E63" s="565"/>
      <c r="F63" s="565"/>
      <c r="G63" s="565"/>
      <c r="H63" s="566"/>
      <c r="I63" s="38" t="s">
        <v>147</v>
      </c>
    </row>
    <row r="64" spans="1:9" ht="14.1" customHeight="1" x14ac:dyDescent="0.2">
      <c r="A64" s="569"/>
      <c r="B64" s="570"/>
      <c r="C64" s="570"/>
      <c r="D64" s="565"/>
      <c r="E64" s="565"/>
      <c r="F64" s="565"/>
      <c r="G64" s="565"/>
      <c r="H64" s="566"/>
    </row>
    <row r="65" spans="1:8" ht="14.1" customHeight="1" x14ac:dyDescent="0.2">
      <c r="A65" s="233"/>
      <c r="B65" s="96"/>
      <c r="C65" s="48"/>
      <c r="D65" s="565"/>
      <c r="E65" s="565"/>
      <c r="F65" s="565"/>
      <c r="G65" s="565"/>
      <c r="H65" s="566"/>
    </row>
    <row r="66" spans="1:8" ht="14.1" customHeight="1" x14ac:dyDescent="0.2">
      <c r="A66" s="52"/>
      <c r="C66" s="48"/>
      <c r="D66" s="565"/>
      <c r="E66" s="565"/>
      <c r="F66" s="565"/>
      <c r="G66" s="565"/>
      <c r="H66" s="566"/>
    </row>
    <row r="67" spans="1:8" ht="14.1" customHeight="1" x14ac:dyDescent="0.2">
      <c r="A67" s="234"/>
      <c r="B67" s="100"/>
      <c r="C67" s="48"/>
      <c r="D67" s="565"/>
      <c r="E67" s="565"/>
      <c r="F67" s="565"/>
      <c r="G67" s="565"/>
      <c r="H67" s="566"/>
    </row>
    <row r="68" spans="1:8" ht="14.45" customHeight="1" thickBot="1" x14ac:dyDescent="0.25">
      <c r="A68" s="235"/>
      <c r="B68" s="105"/>
      <c r="C68" s="236"/>
      <c r="D68" s="567"/>
      <c r="E68" s="567"/>
      <c r="F68" s="567"/>
      <c r="G68" s="567"/>
      <c r="H68" s="568"/>
    </row>
    <row r="69" spans="1:8" ht="25.5" customHeight="1" x14ac:dyDescent="0.2">
      <c r="A69" s="561"/>
      <c r="B69" s="562"/>
      <c r="C69" s="563"/>
      <c r="D69" s="563"/>
      <c r="E69" s="563"/>
      <c r="F69" s="563"/>
      <c r="G69" s="564"/>
      <c r="H69" s="564"/>
    </row>
    <row r="70" spans="1:8" ht="30" customHeight="1" x14ac:dyDescent="0.2">
      <c r="A70" s="561"/>
      <c r="B70" s="562"/>
      <c r="C70" s="563"/>
      <c r="D70" s="563"/>
      <c r="E70" s="563"/>
      <c r="F70" s="563"/>
      <c r="G70" s="564"/>
      <c r="H70" s="564"/>
    </row>
    <row r="71" spans="1:8" x14ac:dyDescent="0.2">
      <c r="A71" s="108"/>
    </row>
    <row r="75" spans="1:8" x14ac:dyDescent="0.2">
      <c r="F75" s="110"/>
    </row>
    <row r="76" spans="1:8" x14ac:dyDescent="0.2">
      <c r="A76" s="108"/>
    </row>
    <row r="77" spans="1:8" x14ac:dyDescent="0.2">
      <c r="A77" s="108"/>
      <c r="B77" s="112"/>
      <c r="E77" s="113"/>
    </row>
    <row r="78" spans="1:8" x14ac:dyDescent="0.2">
      <c r="A78" s="108"/>
      <c r="B78" s="111"/>
    </row>
    <row r="79" spans="1:8" x14ac:dyDescent="0.2">
      <c r="A79" s="108"/>
      <c r="B79" s="114"/>
      <c r="E79" s="109"/>
      <c r="F79" s="110"/>
    </row>
    <row r="80" spans="1:8" x14ac:dyDescent="0.2">
      <c r="B80" s="115"/>
      <c r="E80" s="110"/>
      <c r="F80" s="110"/>
    </row>
    <row r="81" spans="1:6" x14ac:dyDescent="0.2">
      <c r="A81" s="108"/>
    </row>
    <row r="85" spans="1:6" x14ac:dyDescent="0.2">
      <c r="F85" s="110"/>
    </row>
    <row r="86" spans="1:6" x14ac:dyDescent="0.2">
      <c r="A86" s="108"/>
    </row>
    <row r="87" spans="1:6" x14ac:dyDescent="0.2">
      <c r="A87" s="108"/>
      <c r="B87" s="112"/>
      <c r="E87" s="113"/>
    </row>
    <row r="88" spans="1:6" x14ac:dyDescent="0.2">
      <c r="A88" s="108"/>
      <c r="B88" s="111"/>
    </row>
    <row r="89" spans="1:6" x14ac:dyDescent="0.2">
      <c r="A89" s="108"/>
      <c r="B89" s="114"/>
      <c r="E89" s="109"/>
      <c r="F89" s="110"/>
    </row>
    <row r="90" spans="1:6" x14ac:dyDescent="0.2">
      <c r="B90" s="115"/>
      <c r="E90" s="110"/>
      <c r="F90" s="110"/>
    </row>
    <row r="91" spans="1:6" x14ac:dyDescent="0.2">
      <c r="A91" s="108"/>
    </row>
    <row r="95" spans="1:6" x14ac:dyDescent="0.2">
      <c r="F95" s="110"/>
    </row>
    <row r="96" spans="1:6" x14ac:dyDescent="0.2">
      <c r="A96" s="108"/>
    </row>
    <row r="97" spans="1:6" x14ac:dyDescent="0.2">
      <c r="A97" s="108"/>
      <c r="B97" s="112"/>
      <c r="E97" s="113"/>
    </row>
    <row r="98" spans="1:6" x14ac:dyDescent="0.2">
      <c r="A98" s="108"/>
      <c r="B98" s="111"/>
    </row>
    <row r="99" spans="1:6" x14ac:dyDescent="0.2">
      <c r="A99" s="108"/>
      <c r="B99" s="114"/>
      <c r="E99" s="109"/>
      <c r="F99" s="110"/>
    </row>
    <row r="100" spans="1:6" x14ac:dyDescent="0.2">
      <c r="B100" s="115"/>
      <c r="E100" s="110"/>
      <c r="F100" s="110"/>
    </row>
    <row r="101" spans="1:6" x14ac:dyDescent="0.2">
      <c r="A101" s="108"/>
    </row>
    <row r="105" spans="1:6" x14ac:dyDescent="0.2">
      <c r="F105" s="110"/>
    </row>
    <row r="106" spans="1:6" x14ac:dyDescent="0.2">
      <c r="A106" s="108"/>
    </row>
    <row r="107" spans="1:6" x14ac:dyDescent="0.2">
      <c r="A107" s="108"/>
      <c r="B107" s="112"/>
      <c r="E107" s="113"/>
    </row>
    <row r="108" spans="1:6" x14ac:dyDescent="0.2">
      <c r="A108" s="108"/>
      <c r="B108" s="111"/>
    </row>
    <row r="109" spans="1:6" x14ac:dyDescent="0.2">
      <c r="A109" s="108"/>
      <c r="B109" s="114"/>
      <c r="E109" s="109"/>
      <c r="F109" s="110"/>
    </row>
    <row r="110" spans="1:6" x14ac:dyDescent="0.2">
      <c r="B110" s="115"/>
      <c r="E110" s="110"/>
      <c r="F110" s="110"/>
    </row>
    <row r="111" spans="1:6" x14ac:dyDescent="0.2">
      <c r="A111" s="108"/>
    </row>
    <row r="115" spans="1:6" x14ac:dyDescent="0.2">
      <c r="F115" s="110"/>
    </row>
    <row r="116" spans="1:6" x14ac:dyDescent="0.2">
      <c r="A116" s="108"/>
    </row>
    <row r="117" spans="1:6" x14ac:dyDescent="0.2">
      <c r="A117" s="108"/>
      <c r="B117" s="112"/>
      <c r="E117" s="113"/>
    </row>
    <row r="118" spans="1:6" x14ac:dyDescent="0.2">
      <c r="A118" s="108"/>
      <c r="B118" s="111"/>
    </row>
    <row r="119" spans="1:6" x14ac:dyDescent="0.2">
      <c r="A119" s="108"/>
      <c r="B119" s="114"/>
      <c r="E119" s="109"/>
      <c r="F119" s="110"/>
    </row>
    <row r="120" spans="1:6" x14ac:dyDescent="0.2">
      <c r="B120" s="115"/>
      <c r="E120" s="110"/>
      <c r="F120" s="110"/>
    </row>
    <row r="121" spans="1:6" x14ac:dyDescent="0.2">
      <c r="A121" s="108"/>
    </row>
    <row r="125" spans="1:6" x14ac:dyDescent="0.2">
      <c r="F125" s="110"/>
    </row>
    <row r="126" spans="1:6" x14ac:dyDescent="0.2">
      <c r="A126" s="108"/>
    </row>
    <row r="127" spans="1:6" x14ac:dyDescent="0.2">
      <c r="A127" s="108"/>
      <c r="B127" s="112"/>
      <c r="E127" s="113"/>
    </row>
    <row r="128" spans="1:6" x14ac:dyDescent="0.2">
      <c r="A128" s="108"/>
      <c r="B128" s="111"/>
    </row>
    <row r="129" spans="1:6" x14ac:dyDescent="0.2">
      <c r="A129" s="108"/>
      <c r="B129" s="114"/>
      <c r="E129" s="109"/>
      <c r="F129" s="110"/>
    </row>
    <row r="130" spans="1:6" x14ac:dyDescent="0.2">
      <c r="B130" s="115"/>
      <c r="E130" s="110"/>
      <c r="F130" s="110"/>
    </row>
    <row r="131" spans="1:6" x14ac:dyDescent="0.2">
      <c r="A131" s="108"/>
    </row>
    <row r="135" spans="1:6" x14ac:dyDescent="0.2">
      <c r="F135" s="110"/>
    </row>
    <row r="136" spans="1:6" x14ac:dyDescent="0.2">
      <c r="A136" s="108"/>
    </row>
    <row r="137" spans="1:6" ht="6" customHeight="1" x14ac:dyDescent="0.2">
      <c r="A137" s="108"/>
      <c r="B137" s="112"/>
      <c r="E137" s="113"/>
    </row>
    <row r="138" spans="1:6" x14ac:dyDescent="0.2">
      <c r="A138" s="108"/>
      <c r="B138" s="111"/>
    </row>
    <row r="139" spans="1:6" x14ac:dyDescent="0.2">
      <c r="A139" s="108"/>
      <c r="B139" s="114"/>
      <c r="E139" s="109"/>
      <c r="F139" s="110"/>
    </row>
    <row r="140" spans="1:6" x14ac:dyDescent="0.2">
      <c r="B140" s="115"/>
      <c r="E140" s="110"/>
      <c r="F140" s="110"/>
    </row>
    <row r="141" spans="1:6" x14ac:dyDescent="0.2">
      <c r="A141" s="108"/>
    </row>
    <row r="145" spans="1:6" x14ac:dyDescent="0.2">
      <c r="F145" s="110"/>
    </row>
    <row r="146" spans="1:6" x14ac:dyDescent="0.2">
      <c r="A146" s="108"/>
    </row>
    <row r="147" spans="1:6" x14ac:dyDescent="0.2">
      <c r="A147" s="108"/>
      <c r="B147" s="112"/>
      <c r="E147" s="113"/>
    </row>
    <row r="148" spans="1:6" x14ac:dyDescent="0.2">
      <c r="A148" s="108"/>
      <c r="B148" s="111"/>
    </row>
    <row r="149" spans="1:6" x14ac:dyDescent="0.2">
      <c r="A149" s="108"/>
      <c r="B149" s="114"/>
      <c r="E149" s="109"/>
      <c r="F149" s="110"/>
    </row>
    <row r="150" spans="1:6" x14ac:dyDescent="0.2">
      <c r="B150" s="115"/>
      <c r="E150" s="110"/>
      <c r="F150" s="110"/>
    </row>
    <row r="151" spans="1:6" x14ac:dyDescent="0.2">
      <c r="A151" s="108"/>
    </row>
    <row r="155" spans="1:6" x14ac:dyDescent="0.2">
      <c r="F155" s="110"/>
    </row>
    <row r="156" spans="1:6" x14ac:dyDescent="0.2">
      <c r="A156" s="108"/>
    </row>
    <row r="157" spans="1:6" x14ac:dyDescent="0.2">
      <c r="A157" s="108"/>
      <c r="B157" s="112"/>
      <c r="E157" s="113"/>
    </row>
    <row r="158" spans="1:6" x14ac:dyDescent="0.2">
      <c r="A158" s="108"/>
      <c r="B158" s="111"/>
    </row>
    <row r="159" spans="1:6" x14ac:dyDescent="0.2">
      <c r="A159" s="108"/>
      <c r="B159" s="114"/>
      <c r="E159" s="109"/>
      <c r="F159" s="110"/>
    </row>
    <row r="160" spans="1:6" x14ac:dyDescent="0.2">
      <c r="B160" s="115"/>
      <c r="E160" s="110"/>
      <c r="F160" s="110"/>
    </row>
    <row r="161" spans="1:6" x14ac:dyDescent="0.2">
      <c r="A161" s="108"/>
    </row>
    <row r="165" spans="1:6" x14ac:dyDescent="0.2">
      <c r="F165" s="110"/>
    </row>
    <row r="166" spans="1:6" x14ac:dyDescent="0.2">
      <c r="A166" s="108"/>
    </row>
    <row r="167" spans="1:6" x14ac:dyDescent="0.2">
      <c r="A167" s="108"/>
      <c r="B167" s="112"/>
      <c r="E167" s="113"/>
    </row>
    <row r="168" spans="1:6" x14ac:dyDescent="0.2">
      <c r="A168" s="108"/>
      <c r="B168" s="111"/>
    </row>
    <row r="169" spans="1:6" x14ac:dyDescent="0.2">
      <c r="A169" s="108"/>
      <c r="B169" s="114"/>
      <c r="E169" s="109"/>
      <c r="F169" s="110"/>
    </row>
    <row r="170" spans="1:6" x14ac:dyDescent="0.2">
      <c r="B170" s="115"/>
      <c r="E170" s="110"/>
      <c r="F170" s="110"/>
    </row>
    <row r="171" spans="1:6" x14ac:dyDescent="0.2">
      <c r="A171" s="108"/>
    </row>
    <row r="175" spans="1:6" x14ac:dyDescent="0.2">
      <c r="F175" s="110"/>
    </row>
    <row r="176" spans="1:6" x14ac:dyDescent="0.2">
      <c r="A176" s="108"/>
    </row>
    <row r="177" spans="1:6" x14ac:dyDescent="0.2">
      <c r="A177" s="108"/>
      <c r="B177" s="112"/>
      <c r="E177" s="113"/>
    </row>
    <row r="178" spans="1:6" x14ac:dyDescent="0.2">
      <c r="A178" s="108"/>
      <c r="B178" s="111"/>
    </row>
    <row r="179" spans="1:6" x14ac:dyDescent="0.2">
      <c r="A179" s="108"/>
      <c r="B179" s="114"/>
      <c r="E179" s="109"/>
      <c r="F179" s="110"/>
    </row>
  </sheetData>
  <mergeCells count="61">
    <mergeCell ref="A3:B3"/>
    <mergeCell ref="H46:H51"/>
    <mergeCell ref="A69:B70"/>
    <mergeCell ref="C69:F70"/>
    <mergeCell ref="G69:H70"/>
    <mergeCell ref="D58:D61"/>
    <mergeCell ref="E58:H61"/>
    <mergeCell ref="D62:D68"/>
    <mergeCell ref="E62:H68"/>
    <mergeCell ref="A63:C63"/>
    <mergeCell ref="A64:C64"/>
    <mergeCell ref="D52:D57"/>
    <mergeCell ref="E52:H57"/>
    <mergeCell ref="D46:D51"/>
    <mergeCell ref="E46:E51"/>
    <mergeCell ref="F46:F51"/>
    <mergeCell ref="G46:G51"/>
    <mergeCell ref="G40:G45"/>
    <mergeCell ref="H40:H45"/>
    <mergeCell ref="D34:D39"/>
    <mergeCell ref="E34:E39"/>
    <mergeCell ref="F34:F39"/>
    <mergeCell ref="G34:G39"/>
    <mergeCell ref="H34:H39"/>
    <mergeCell ref="E19:E21"/>
    <mergeCell ref="F19:F21"/>
    <mergeCell ref="D40:D45"/>
    <mergeCell ref="E40:E45"/>
    <mergeCell ref="F40:F45"/>
    <mergeCell ref="D22:D27"/>
    <mergeCell ref="E22:E27"/>
    <mergeCell ref="F22:F27"/>
    <mergeCell ref="G22:G27"/>
    <mergeCell ref="H22:H27"/>
    <mergeCell ref="D28:D33"/>
    <mergeCell ref="E28:E33"/>
    <mergeCell ref="F28:F33"/>
    <mergeCell ref="G28:G33"/>
    <mergeCell ref="H28:H33"/>
    <mergeCell ref="G19:G21"/>
    <mergeCell ref="C3:D3"/>
    <mergeCell ref="F3:H3"/>
    <mergeCell ref="L3:N3"/>
    <mergeCell ref="A4:E18"/>
    <mergeCell ref="F4:H5"/>
    <mergeCell ref="N4:O4"/>
    <mergeCell ref="F10:H10"/>
    <mergeCell ref="F11:G12"/>
    <mergeCell ref="H11:H12"/>
    <mergeCell ref="F13:G14"/>
    <mergeCell ref="H13:H14"/>
    <mergeCell ref="H19:H21"/>
    <mergeCell ref="B21:C21"/>
    <mergeCell ref="A19:C19"/>
    <mergeCell ref="D19:D21"/>
    <mergeCell ref="A1:B2"/>
    <mergeCell ref="C1:F2"/>
    <mergeCell ref="G1:H2"/>
    <mergeCell ref="L1:M1"/>
    <mergeCell ref="N1:O1"/>
    <mergeCell ref="K2:P2"/>
  </mergeCells>
  <dataValidations count="2">
    <dataValidation type="list" allowBlank="1" showInputMessage="1" showErrorMessage="1" sqref="A54" xr:uid="{299867F2-4B79-4790-916A-B07FAF9190F8}">
      <formula1>$I$52:$I$54</formula1>
    </dataValidation>
    <dataValidation type="list" allowBlank="1" showInputMessage="1" showErrorMessage="1" sqref="A63:C64" xr:uid="{5EC38485-32A4-42C1-90DC-93949EC40491}">
      <formula1>$I$62:$I$63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9" scale="79" orientation="portrait" r:id="rId1"/>
  <headerFooter alignWithMargins="0"/>
  <rowBreaks count="1" manualBreakCount="1">
    <brk id="68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7</xdr:col>
                    <xdr:colOff>123825</xdr:colOff>
                    <xdr:row>6</xdr:row>
                    <xdr:rowOff>9525</xdr:rowOff>
                  </from>
                  <to>
                    <xdr:col>8</xdr:col>
                    <xdr:colOff>57150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7</xdr:col>
                    <xdr:colOff>123825</xdr:colOff>
                    <xdr:row>7</xdr:row>
                    <xdr:rowOff>0</xdr:rowOff>
                  </from>
                  <to>
                    <xdr:col>8</xdr:col>
                    <xdr:colOff>57150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7</xdr:col>
                    <xdr:colOff>123825</xdr:colOff>
                    <xdr:row>8</xdr:row>
                    <xdr:rowOff>9525</xdr:rowOff>
                  </from>
                  <to>
                    <xdr:col>8</xdr:col>
                    <xdr:colOff>57150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7</xdr:col>
                    <xdr:colOff>123825</xdr:colOff>
                    <xdr:row>10</xdr:row>
                    <xdr:rowOff>104775</xdr:rowOff>
                  </from>
                  <to>
                    <xdr:col>8</xdr:col>
                    <xdr:colOff>57150</xdr:colOff>
                    <xdr:row>11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7</xdr:col>
                    <xdr:colOff>123825</xdr:colOff>
                    <xdr:row>12</xdr:row>
                    <xdr:rowOff>85725</xdr:rowOff>
                  </from>
                  <to>
                    <xdr:col>8</xdr:col>
                    <xdr:colOff>57150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7</xdr:col>
                    <xdr:colOff>581025</xdr:colOff>
                    <xdr:row>14</xdr:row>
                    <xdr:rowOff>247650</xdr:rowOff>
                  </from>
                  <to>
                    <xdr:col>8</xdr:col>
                    <xdr:colOff>504825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7</xdr:col>
                    <xdr:colOff>123825</xdr:colOff>
                    <xdr:row>15</xdr:row>
                    <xdr:rowOff>161925</xdr:rowOff>
                  </from>
                  <to>
                    <xdr:col>8</xdr:col>
                    <xdr:colOff>57150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7</xdr:col>
                    <xdr:colOff>123825</xdr:colOff>
                    <xdr:row>16</xdr:row>
                    <xdr:rowOff>171450</xdr:rowOff>
                  </from>
                  <to>
                    <xdr:col>8</xdr:col>
                    <xdr:colOff>104775</xdr:colOff>
                    <xdr:row>18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37CE-6D5C-40CA-B716-3F0A621D3A8F}">
  <dimension ref="A1:U221"/>
  <sheetViews>
    <sheetView tabSelected="1" view="pageBreakPreview" zoomScaleNormal="100" zoomScaleSheetLayoutView="100" workbookViewId="0">
      <selection activeCell="P11" sqref="P11"/>
    </sheetView>
  </sheetViews>
  <sheetFormatPr baseColWidth="10" defaultColWidth="11.42578125" defaultRowHeight="14.25" x14ac:dyDescent="0.2"/>
  <cols>
    <col min="1" max="1" width="16.7109375" style="38" customWidth="1"/>
    <col min="2" max="2" width="14.7109375" style="38" customWidth="1"/>
    <col min="3" max="3" width="20.85546875" style="38" customWidth="1"/>
    <col min="4" max="4" width="9.28515625" style="38" customWidth="1"/>
    <col min="5" max="5" width="13.140625" style="38" customWidth="1"/>
    <col min="6" max="6" width="7.42578125" style="38" customWidth="1"/>
    <col min="7" max="7" width="15.42578125" style="38" customWidth="1"/>
    <col min="8" max="9" width="15.28515625" style="38" customWidth="1"/>
    <col min="10" max="10" width="10.140625" style="38" customWidth="1"/>
    <col min="11" max="11" width="20.7109375" style="38" customWidth="1"/>
    <col min="12" max="13" width="18.7109375" style="38" customWidth="1"/>
    <col min="14" max="14" width="13.140625" style="38" customWidth="1"/>
    <col min="15" max="15" width="13.42578125" style="38" customWidth="1"/>
    <col min="16" max="16384" width="11.42578125" style="38"/>
  </cols>
  <sheetData>
    <row r="1" spans="1:21" ht="18" customHeight="1" x14ac:dyDescent="0.2">
      <c r="A1" s="499"/>
      <c r="B1" s="500"/>
      <c r="C1" s="503" t="s">
        <v>63</v>
      </c>
      <c r="D1" s="504"/>
      <c r="E1" s="504"/>
      <c r="F1" s="504"/>
      <c r="G1" s="504"/>
      <c r="H1" s="504"/>
      <c r="I1" s="504"/>
      <c r="J1" s="504"/>
      <c r="K1" s="505"/>
      <c r="L1" s="664" t="s">
        <v>186</v>
      </c>
      <c r="M1" s="665"/>
      <c r="P1" s="39"/>
      <c r="Q1" s="513"/>
      <c r="R1" s="513"/>
      <c r="S1" s="513"/>
      <c r="T1" s="513"/>
      <c r="U1" s="40"/>
    </row>
    <row r="2" spans="1:21" ht="16.5" customHeight="1" thickBot="1" x14ac:dyDescent="0.25">
      <c r="A2" s="501"/>
      <c r="B2" s="502"/>
      <c r="C2" s="506"/>
      <c r="D2" s="507"/>
      <c r="E2" s="507"/>
      <c r="F2" s="507"/>
      <c r="G2" s="507"/>
      <c r="H2" s="507"/>
      <c r="I2" s="507"/>
      <c r="J2" s="507"/>
      <c r="K2" s="508"/>
      <c r="L2" s="666"/>
      <c r="M2" s="667"/>
      <c r="P2" s="514"/>
      <c r="Q2" s="514"/>
      <c r="R2" s="514"/>
      <c r="S2" s="514"/>
      <c r="T2" s="514"/>
      <c r="U2" s="514"/>
    </row>
    <row r="3" spans="1:21" ht="40.15" customHeight="1" thickBot="1" x14ac:dyDescent="0.25">
      <c r="A3" s="657" t="str">
        <f>'CROQUIS '!$E$5</f>
        <v>Thème :  1EVA32</v>
      </c>
      <c r="B3" s="658"/>
      <c r="C3" s="659" t="str">
        <f>'CROQUIS '!$G$5</f>
        <v>Modèle : V09413 BELL</v>
      </c>
      <c r="D3" s="660"/>
      <c r="E3" s="660"/>
      <c r="F3" s="660"/>
      <c r="G3" s="660"/>
      <c r="H3" s="659" t="str">
        <f>'CROQUIS '!$C$5</f>
        <v>Saison : 26H</v>
      </c>
      <c r="I3" s="660"/>
      <c r="J3" s="658"/>
      <c r="K3" s="661" t="s">
        <v>190</v>
      </c>
      <c r="L3" s="662"/>
      <c r="M3" s="663"/>
      <c r="P3" s="41"/>
      <c r="Q3" s="523"/>
      <c r="R3" s="523"/>
      <c r="S3" s="523"/>
      <c r="T3" s="41"/>
      <c r="U3" s="42"/>
    </row>
    <row r="4" spans="1:21" ht="16.899999999999999" customHeight="1" x14ac:dyDescent="0.2">
      <c r="A4" s="624"/>
      <c r="B4" s="625"/>
      <c r="C4" s="625"/>
      <c r="D4" s="625"/>
      <c r="E4" s="625"/>
      <c r="F4" s="625"/>
      <c r="G4" s="625"/>
      <c r="H4" s="625"/>
      <c r="I4" s="625"/>
      <c r="J4" s="626"/>
      <c r="K4" s="648" t="s">
        <v>182</v>
      </c>
      <c r="L4" s="649"/>
      <c r="M4" s="650"/>
      <c r="P4" s="41"/>
      <c r="Q4" s="43"/>
      <c r="R4" s="43"/>
      <c r="S4" s="534"/>
      <c r="T4" s="534"/>
      <c r="U4" s="534"/>
    </row>
    <row r="5" spans="1:21" ht="16.899999999999999" customHeight="1" x14ac:dyDescent="0.2">
      <c r="A5" s="627"/>
      <c r="B5" s="562"/>
      <c r="C5" s="562"/>
      <c r="D5" s="562"/>
      <c r="E5" s="562"/>
      <c r="F5" s="562"/>
      <c r="G5" s="562"/>
      <c r="H5" s="562"/>
      <c r="I5" s="562"/>
      <c r="J5" s="628"/>
      <c r="K5" s="651"/>
      <c r="L5" s="652"/>
      <c r="M5" s="653"/>
      <c r="P5" s="41"/>
      <c r="Q5" s="44"/>
      <c r="R5" s="43"/>
      <c r="S5" s="534"/>
      <c r="T5" s="534"/>
      <c r="U5" s="534"/>
    </row>
    <row r="6" spans="1:21" ht="16.899999999999999" customHeight="1" thickBot="1" x14ac:dyDescent="0.25">
      <c r="A6" s="627"/>
      <c r="B6" s="562"/>
      <c r="C6" s="562"/>
      <c r="D6" s="562"/>
      <c r="E6" s="562"/>
      <c r="F6" s="562"/>
      <c r="G6" s="562"/>
      <c r="H6" s="562"/>
      <c r="I6" s="562"/>
      <c r="J6" s="628"/>
      <c r="K6" s="654"/>
      <c r="L6" s="655"/>
      <c r="M6" s="656"/>
    </row>
    <row r="7" spans="1:21" ht="19.899999999999999" customHeight="1" x14ac:dyDescent="0.2">
      <c r="A7" s="627"/>
      <c r="B7" s="562"/>
      <c r="C7" s="562"/>
      <c r="D7" s="562"/>
      <c r="E7" s="562"/>
      <c r="F7" s="562"/>
      <c r="G7" s="562"/>
      <c r="H7" s="562"/>
      <c r="I7" s="562"/>
      <c r="J7" s="628"/>
      <c r="K7" s="634" t="s">
        <v>64</v>
      </c>
      <c r="L7" s="635"/>
      <c r="M7" s="636"/>
    </row>
    <row r="8" spans="1:21" ht="19.899999999999999" customHeight="1" x14ac:dyDescent="0.2">
      <c r="A8" s="627"/>
      <c r="B8" s="562"/>
      <c r="C8" s="562"/>
      <c r="D8" s="562"/>
      <c r="E8" s="562"/>
      <c r="F8" s="562"/>
      <c r="G8" s="562"/>
      <c r="H8" s="562"/>
      <c r="I8" s="562"/>
      <c r="J8" s="628"/>
      <c r="K8" s="637"/>
      <c r="L8" s="638"/>
      <c r="M8" s="639"/>
    </row>
    <row r="9" spans="1:21" ht="19.899999999999999" customHeight="1" x14ac:dyDescent="0.2">
      <c r="A9" s="627"/>
      <c r="B9" s="562"/>
      <c r="C9" s="562"/>
      <c r="D9" s="562"/>
      <c r="E9" s="562"/>
      <c r="F9" s="562"/>
      <c r="G9" s="562"/>
      <c r="H9" s="562"/>
      <c r="I9" s="562"/>
      <c r="J9" s="628"/>
      <c r="K9" s="637"/>
      <c r="L9" s="638"/>
      <c r="M9" s="639"/>
    </row>
    <row r="10" spans="1:21" ht="19.899999999999999" customHeight="1" x14ac:dyDescent="0.2">
      <c r="A10" s="627"/>
      <c r="B10" s="562"/>
      <c r="C10" s="562"/>
      <c r="D10" s="562"/>
      <c r="E10" s="562"/>
      <c r="F10" s="562"/>
      <c r="G10" s="562"/>
      <c r="H10" s="562"/>
      <c r="I10" s="562"/>
      <c r="J10" s="628"/>
      <c r="K10" s="637"/>
      <c r="L10" s="638"/>
      <c r="M10" s="639"/>
    </row>
    <row r="11" spans="1:21" ht="19.899999999999999" customHeight="1" thickBot="1" x14ac:dyDescent="0.25">
      <c r="A11" s="627"/>
      <c r="B11" s="562"/>
      <c r="C11" s="562"/>
      <c r="D11" s="562"/>
      <c r="E11" s="562"/>
      <c r="F11" s="562"/>
      <c r="G11" s="562"/>
      <c r="H11" s="562"/>
      <c r="I11" s="562"/>
      <c r="J11" s="628"/>
      <c r="K11" s="640"/>
      <c r="L11" s="641"/>
      <c r="M11" s="642"/>
    </row>
    <row r="12" spans="1:21" ht="19.899999999999999" customHeight="1" x14ac:dyDescent="0.2">
      <c r="A12" s="627"/>
      <c r="B12" s="562"/>
      <c r="C12" s="562"/>
      <c r="D12" s="562"/>
      <c r="E12" s="562"/>
      <c r="F12" s="562"/>
      <c r="G12" s="562"/>
      <c r="H12" s="562"/>
      <c r="I12" s="562"/>
      <c r="J12" s="628"/>
      <c r="K12" s="643" t="s">
        <v>65</v>
      </c>
      <c r="L12" s="644"/>
      <c r="M12" s="542" t="s">
        <v>169</v>
      </c>
    </row>
    <row r="13" spans="1:21" ht="19.899999999999999" customHeight="1" x14ac:dyDescent="0.2">
      <c r="A13" s="627"/>
      <c r="B13" s="562"/>
      <c r="C13" s="562"/>
      <c r="D13" s="562"/>
      <c r="E13" s="562"/>
      <c r="F13" s="562"/>
      <c r="G13" s="562"/>
      <c r="H13" s="562"/>
      <c r="I13" s="562"/>
      <c r="J13" s="628"/>
      <c r="K13" s="645"/>
      <c r="L13" s="646"/>
      <c r="M13" s="647"/>
    </row>
    <row r="14" spans="1:21" ht="19.899999999999999" customHeight="1" thickBot="1" x14ac:dyDescent="0.25">
      <c r="A14" s="627"/>
      <c r="B14" s="562"/>
      <c r="C14" s="562"/>
      <c r="D14" s="562"/>
      <c r="E14" s="562"/>
      <c r="F14" s="562"/>
      <c r="G14" s="562"/>
      <c r="H14" s="562"/>
      <c r="I14" s="562"/>
      <c r="J14" s="628"/>
      <c r="K14" s="645"/>
      <c r="L14" s="646"/>
      <c r="M14" s="543"/>
    </row>
    <row r="15" spans="1:21" ht="19.899999999999999" customHeight="1" x14ac:dyDescent="0.2">
      <c r="A15" s="627"/>
      <c r="B15" s="562"/>
      <c r="C15" s="562"/>
      <c r="D15" s="562"/>
      <c r="E15" s="562"/>
      <c r="F15" s="562"/>
      <c r="G15" s="562"/>
      <c r="H15" s="562"/>
      <c r="I15" s="562"/>
      <c r="J15" s="628"/>
      <c r="K15" s="643" t="s">
        <v>66</v>
      </c>
      <c r="L15" s="644"/>
      <c r="M15" s="542"/>
    </row>
    <row r="16" spans="1:21" ht="19.899999999999999" customHeight="1" x14ac:dyDescent="0.2">
      <c r="A16" s="627"/>
      <c r="B16" s="562"/>
      <c r="C16" s="562"/>
      <c r="D16" s="562"/>
      <c r="E16" s="562"/>
      <c r="F16" s="562"/>
      <c r="G16" s="562"/>
      <c r="H16" s="562"/>
      <c r="I16" s="562"/>
      <c r="J16" s="628"/>
      <c r="K16" s="645"/>
      <c r="L16" s="646"/>
      <c r="M16" s="647"/>
    </row>
    <row r="17" spans="1:15" ht="20.45" customHeight="1" thickBot="1" x14ac:dyDescent="0.25">
      <c r="A17" s="627"/>
      <c r="B17" s="562"/>
      <c r="C17" s="562"/>
      <c r="D17" s="562"/>
      <c r="E17" s="562"/>
      <c r="F17" s="562"/>
      <c r="G17" s="562"/>
      <c r="H17" s="562"/>
      <c r="I17" s="562"/>
      <c r="J17" s="628"/>
      <c r="K17" s="645"/>
      <c r="L17" s="646"/>
      <c r="M17" s="543"/>
    </row>
    <row r="18" spans="1:15" ht="20.25" customHeight="1" x14ac:dyDescent="0.2">
      <c r="A18" s="627"/>
      <c r="B18" s="562"/>
      <c r="C18" s="562"/>
      <c r="D18" s="562"/>
      <c r="E18" s="562"/>
      <c r="F18" s="562"/>
      <c r="G18" s="562"/>
      <c r="H18" s="562"/>
      <c r="I18" s="562"/>
      <c r="J18" s="628"/>
      <c r="K18" s="632" t="s">
        <v>67</v>
      </c>
      <c r="L18" s="597"/>
      <c r="M18" s="598"/>
    </row>
    <row r="19" spans="1:15" x14ac:dyDescent="0.2">
      <c r="A19" s="627"/>
      <c r="B19" s="562"/>
      <c r="C19" s="562"/>
      <c r="D19" s="562"/>
      <c r="E19" s="562"/>
      <c r="F19" s="562"/>
      <c r="G19" s="562"/>
      <c r="H19" s="562"/>
      <c r="I19" s="562"/>
      <c r="J19" s="628"/>
      <c r="K19" s="596"/>
      <c r="L19" s="599"/>
      <c r="M19" s="600"/>
    </row>
    <row r="20" spans="1:15" ht="15" thickBot="1" x14ac:dyDescent="0.25">
      <c r="A20" s="627"/>
      <c r="B20" s="562"/>
      <c r="C20" s="562"/>
      <c r="D20" s="562"/>
      <c r="E20" s="562"/>
      <c r="F20" s="562"/>
      <c r="G20" s="562"/>
      <c r="H20" s="562"/>
      <c r="I20" s="562"/>
      <c r="J20" s="628"/>
      <c r="K20" s="596"/>
      <c r="L20" s="599"/>
      <c r="M20" s="600"/>
    </row>
    <row r="21" spans="1:15" ht="13.9" customHeight="1" x14ac:dyDescent="0.2">
      <c r="A21" s="627"/>
      <c r="B21" s="562"/>
      <c r="C21" s="562"/>
      <c r="D21" s="562"/>
      <c r="E21" s="562"/>
      <c r="F21" s="562"/>
      <c r="G21" s="562"/>
      <c r="H21" s="562"/>
      <c r="I21" s="562"/>
      <c r="J21" s="628"/>
      <c r="K21" s="596" t="s">
        <v>68</v>
      </c>
      <c r="L21" s="597" t="s">
        <v>169</v>
      </c>
      <c r="M21" s="598"/>
    </row>
    <row r="22" spans="1:15" ht="13.9" customHeight="1" x14ac:dyDescent="0.2">
      <c r="A22" s="627"/>
      <c r="B22" s="562"/>
      <c r="C22" s="562"/>
      <c r="D22" s="562"/>
      <c r="E22" s="562"/>
      <c r="F22" s="562"/>
      <c r="G22" s="562"/>
      <c r="H22" s="562"/>
      <c r="I22" s="562"/>
      <c r="J22" s="628"/>
      <c r="K22" s="596"/>
      <c r="L22" s="599"/>
      <c r="M22" s="600"/>
    </row>
    <row r="23" spans="1:15" ht="17.25" customHeight="1" thickBot="1" x14ac:dyDescent="0.25">
      <c r="A23" s="627"/>
      <c r="B23" s="562"/>
      <c r="C23" s="562"/>
      <c r="D23" s="562"/>
      <c r="E23" s="562"/>
      <c r="F23" s="562"/>
      <c r="G23" s="562"/>
      <c r="H23" s="562"/>
      <c r="I23" s="562"/>
      <c r="J23" s="628"/>
      <c r="K23" s="596"/>
      <c r="L23" s="599"/>
      <c r="M23" s="600"/>
      <c r="N23" s="45"/>
      <c r="O23" s="46"/>
    </row>
    <row r="24" spans="1:15" ht="15" customHeight="1" x14ac:dyDescent="0.2">
      <c r="A24" s="627"/>
      <c r="B24" s="562"/>
      <c r="C24" s="562"/>
      <c r="D24" s="562"/>
      <c r="E24" s="562"/>
      <c r="F24" s="562"/>
      <c r="G24" s="562"/>
      <c r="H24" s="562"/>
      <c r="I24" s="562"/>
      <c r="J24" s="628"/>
      <c r="K24" s="596" t="s">
        <v>69</v>
      </c>
      <c r="L24" s="597"/>
      <c r="M24" s="598"/>
      <c r="O24" s="46"/>
    </row>
    <row r="25" spans="1:15" x14ac:dyDescent="0.2">
      <c r="A25" s="627"/>
      <c r="B25" s="562"/>
      <c r="C25" s="562"/>
      <c r="D25" s="562"/>
      <c r="E25" s="562"/>
      <c r="F25" s="562"/>
      <c r="G25" s="562"/>
      <c r="H25" s="562"/>
      <c r="I25" s="562"/>
      <c r="J25" s="628"/>
      <c r="K25" s="596"/>
      <c r="L25" s="599"/>
      <c r="M25" s="600"/>
      <c r="N25" s="47"/>
      <c r="O25" s="48"/>
    </row>
    <row r="26" spans="1:15" ht="15" thickBot="1" x14ac:dyDescent="0.25">
      <c r="A26" s="629"/>
      <c r="B26" s="630"/>
      <c r="C26" s="630"/>
      <c r="D26" s="630"/>
      <c r="E26" s="630"/>
      <c r="F26" s="630"/>
      <c r="G26" s="630"/>
      <c r="H26" s="630"/>
      <c r="I26" s="630"/>
      <c r="J26" s="631"/>
      <c r="K26" s="601"/>
      <c r="L26" s="599"/>
      <c r="M26" s="600"/>
    </row>
    <row r="27" spans="1:15" ht="15" customHeight="1" x14ac:dyDescent="0.2">
      <c r="A27" s="602" t="s">
        <v>70</v>
      </c>
      <c r="B27" s="603"/>
      <c r="C27" s="49"/>
      <c r="D27" s="604" t="s">
        <v>71</v>
      </c>
      <c r="E27" s="605"/>
      <c r="F27" s="604" t="s">
        <v>72</v>
      </c>
      <c r="G27" s="610"/>
      <c r="H27" s="615" t="s">
        <v>187</v>
      </c>
      <c r="I27" s="616"/>
      <c r="J27" s="604" t="s">
        <v>188</v>
      </c>
      <c r="K27" s="610"/>
      <c r="L27" s="615"/>
      <c r="M27" s="621"/>
    </row>
    <row r="28" spans="1:15" ht="15" customHeight="1" x14ac:dyDescent="0.2">
      <c r="A28" s="50"/>
      <c r="B28" s="51"/>
      <c r="C28" s="51"/>
      <c r="D28" s="606"/>
      <c r="E28" s="607"/>
      <c r="F28" s="611"/>
      <c r="G28" s="612"/>
      <c r="H28" s="617"/>
      <c r="I28" s="618"/>
      <c r="J28" s="611"/>
      <c r="K28" s="612"/>
      <c r="L28" s="617"/>
      <c r="M28" s="622"/>
    </row>
    <row r="29" spans="1:15" x14ac:dyDescent="0.2">
      <c r="A29" s="52"/>
      <c r="D29" s="606"/>
      <c r="E29" s="607"/>
      <c r="F29" s="611"/>
      <c r="G29" s="612"/>
      <c r="H29" s="617"/>
      <c r="I29" s="618"/>
      <c r="J29" s="611"/>
      <c r="K29" s="612"/>
      <c r="L29" s="617"/>
      <c r="M29" s="622"/>
    </row>
    <row r="30" spans="1:15" x14ac:dyDescent="0.2">
      <c r="A30" s="52"/>
      <c r="B30" s="633" t="s">
        <v>73</v>
      </c>
      <c r="C30" s="633"/>
      <c r="D30" s="608"/>
      <c r="E30" s="609"/>
      <c r="F30" s="613"/>
      <c r="G30" s="614"/>
      <c r="H30" s="619"/>
      <c r="I30" s="620"/>
      <c r="J30" s="613"/>
      <c r="K30" s="614"/>
      <c r="L30" s="619"/>
      <c r="M30" s="623"/>
      <c r="N30" s="45"/>
      <c r="O30" s="46"/>
    </row>
    <row r="31" spans="1:15" ht="13.9" customHeight="1" x14ac:dyDescent="0.2">
      <c r="A31" s="87" t="s">
        <v>179</v>
      </c>
      <c r="B31" s="54"/>
      <c r="C31" s="55"/>
      <c r="D31" s="586"/>
      <c r="E31" s="587"/>
      <c r="F31" s="573"/>
      <c r="G31" s="574"/>
      <c r="H31" s="592"/>
      <c r="I31" s="593"/>
      <c r="J31" s="592"/>
      <c r="K31" s="593"/>
      <c r="L31" s="56"/>
      <c r="M31" s="57"/>
      <c r="N31" s="45"/>
      <c r="O31" s="46"/>
    </row>
    <row r="32" spans="1:15" ht="13.9" customHeight="1" x14ac:dyDescent="0.2">
      <c r="A32" s="52" t="s">
        <v>180</v>
      </c>
      <c r="C32" s="58"/>
      <c r="D32" s="588"/>
      <c r="E32" s="589"/>
      <c r="F32" s="575"/>
      <c r="G32" s="576"/>
      <c r="H32" s="594"/>
      <c r="I32" s="595"/>
      <c r="J32" s="594"/>
      <c r="K32" s="595"/>
      <c r="L32" s="59"/>
      <c r="M32" s="60"/>
      <c r="N32" s="45"/>
      <c r="O32"/>
    </row>
    <row r="33" spans="1:15" ht="13.9" customHeight="1" x14ac:dyDescent="0.2">
      <c r="A33" s="61" t="s">
        <v>183</v>
      </c>
      <c r="B33" s="48"/>
      <c r="C33" s="58" t="s">
        <v>181</v>
      </c>
      <c r="D33" s="588"/>
      <c r="E33" s="589"/>
      <c r="F33" s="575"/>
      <c r="G33" s="576"/>
      <c r="H33" s="62"/>
      <c r="I33" s="59"/>
      <c r="J33" s="63"/>
      <c r="K33" s="64"/>
      <c r="L33" s="65"/>
      <c r="M33" s="66"/>
      <c r="O33" s="46"/>
    </row>
    <row r="34" spans="1:15" ht="13.9" customHeight="1" x14ac:dyDescent="0.2">
      <c r="A34" s="52" t="s">
        <v>184</v>
      </c>
      <c r="B34" s="48"/>
      <c r="C34" s="58"/>
      <c r="D34" s="588"/>
      <c r="E34" s="589"/>
      <c r="F34" s="575"/>
      <c r="G34" s="576"/>
      <c r="H34" s="62"/>
      <c r="I34" s="59"/>
      <c r="J34" s="62"/>
      <c r="K34" s="67"/>
      <c r="L34" s="68"/>
      <c r="M34" s="60"/>
      <c r="N34" s="47"/>
      <c r="O34" s="48"/>
    </row>
    <row r="35" spans="1:15" ht="13.9" customHeight="1" x14ac:dyDescent="0.2">
      <c r="A35" s="52"/>
      <c r="B35" s="48"/>
      <c r="C35" s="69"/>
      <c r="D35" s="588"/>
      <c r="E35" s="589"/>
      <c r="F35" s="575"/>
      <c r="G35" s="576"/>
      <c r="H35" s="62"/>
      <c r="I35" s="59"/>
      <c r="J35" s="63"/>
      <c r="K35" s="67"/>
      <c r="L35" s="68"/>
      <c r="M35" s="60"/>
      <c r="N35" s="47"/>
      <c r="O35" s="46"/>
    </row>
    <row r="36" spans="1:15" ht="13.9" customHeight="1" x14ac:dyDescent="0.2">
      <c r="A36" s="61"/>
      <c r="B36" s="70"/>
      <c r="C36" s="58"/>
      <c r="D36" s="588"/>
      <c r="E36" s="589"/>
      <c r="F36" s="575"/>
      <c r="G36" s="576"/>
      <c r="H36" s="62"/>
      <c r="J36" s="63"/>
      <c r="K36" s="71"/>
      <c r="M36" s="72"/>
      <c r="N36" s="73"/>
      <c r="O36" s="46"/>
    </row>
    <row r="37" spans="1:15" ht="13.9" customHeight="1" x14ac:dyDescent="0.2">
      <c r="A37" s="61"/>
      <c r="B37" s="48"/>
      <c r="C37" s="58"/>
      <c r="D37" s="588"/>
      <c r="E37" s="589"/>
      <c r="F37" s="575"/>
      <c r="G37" s="576"/>
      <c r="H37" s="62"/>
      <c r="I37" s="68"/>
      <c r="J37" s="63"/>
      <c r="K37" s="71"/>
      <c r="L37" s="68"/>
      <c r="M37" s="72"/>
      <c r="O37" s="48"/>
    </row>
    <row r="38" spans="1:15" ht="13.9" customHeight="1" x14ac:dyDescent="0.2">
      <c r="A38" s="74"/>
      <c r="B38" s="75"/>
      <c r="C38" s="76"/>
      <c r="D38" s="590"/>
      <c r="E38" s="591"/>
      <c r="F38" s="577"/>
      <c r="G38" s="578"/>
      <c r="H38" s="77"/>
      <c r="I38" s="78"/>
      <c r="J38" s="77"/>
      <c r="K38" s="79"/>
      <c r="L38" s="78"/>
      <c r="M38" s="80"/>
      <c r="N38" s="45"/>
      <c r="O38" s="46"/>
    </row>
    <row r="39" spans="1:15" ht="13.9" customHeight="1" x14ac:dyDescent="0.2">
      <c r="A39" s="87" t="s">
        <v>179</v>
      </c>
      <c r="B39" s="54"/>
      <c r="C39" s="55"/>
      <c r="D39" s="586"/>
      <c r="E39" s="587"/>
      <c r="F39" s="573"/>
      <c r="G39" s="574"/>
      <c r="H39" s="579"/>
      <c r="I39" s="580"/>
      <c r="J39" s="579"/>
      <c r="K39" s="580"/>
      <c r="L39" s="56"/>
      <c r="M39" s="57"/>
      <c r="N39" s="81"/>
      <c r="O39" s="82"/>
    </row>
    <row r="40" spans="1:15" ht="13.9" customHeight="1" x14ac:dyDescent="0.2">
      <c r="A40" s="52" t="s">
        <v>174</v>
      </c>
      <c r="C40" s="58"/>
      <c r="D40" s="588"/>
      <c r="E40" s="589"/>
      <c r="F40" s="575"/>
      <c r="G40" s="576"/>
      <c r="H40" s="62"/>
      <c r="I40" s="71"/>
      <c r="J40" s="63"/>
      <c r="K40" s="67"/>
      <c r="L40" s="59"/>
      <c r="M40" s="60"/>
      <c r="N40" s="81"/>
      <c r="O40" s="83"/>
    </row>
    <row r="41" spans="1:15" ht="12.75" customHeight="1" x14ac:dyDescent="0.2">
      <c r="A41" s="61"/>
      <c r="B41" s="48"/>
      <c r="C41" s="58"/>
      <c r="D41" s="588"/>
      <c r="E41" s="589"/>
      <c r="F41" s="575"/>
      <c r="G41" s="576"/>
      <c r="H41" s="62"/>
      <c r="I41" s="59"/>
      <c r="J41" s="63"/>
      <c r="K41" s="64"/>
      <c r="L41" s="65"/>
      <c r="M41" s="66"/>
    </row>
    <row r="42" spans="1:15" ht="12" customHeight="1" x14ac:dyDescent="0.2">
      <c r="A42" s="52"/>
      <c r="B42" s="48"/>
      <c r="C42" s="58"/>
      <c r="D42" s="588"/>
      <c r="E42" s="589"/>
      <c r="F42" s="575"/>
      <c r="G42" s="576"/>
      <c r="H42" s="62"/>
      <c r="I42" s="59"/>
      <c r="J42" s="62"/>
      <c r="K42" s="67"/>
      <c r="L42" s="68"/>
      <c r="M42" s="60"/>
    </row>
    <row r="43" spans="1:15" ht="13.9" customHeight="1" x14ac:dyDescent="0.2">
      <c r="A43" s="52"/>
      <c r="B43" s="48"/>
      <c r="C43" s="69"/>
      <c r="D43" s="588"/>
      <c r="E43" s="589"/>
      <c r="F43" s="575"/>
      <c r="G43" s="576"/>
      <c r="H43" s="62"/>
      <c r="I43" s="59"/>
      <c r="J43" s="63"/>
      <c r="K43" s="67"/>
      <c r="L43" s="68"/>
      <c r="M43" s="60"/>
    </row>
    <row r="44" spans="1:15" ht="13.9" customHeight="1" x14ac:dyDescent="0.2">
      <c r="A44" s="61"/>
      <c r="B44" s="70"/>
      <c r="C44" s="58"/>
      <c r="D44" s="588"/>
      <c r="E44" s="589"/>
      <c r="F44" s="575"/>
      <c r="G44" s="576"/>
      <c r="H44" s="62"/>
      <c r="J44" s="63"/>
      <c r="K44" s="71"/>
      <c r="M44" s="72"/>
    </row>
    <row r="45" spans="1:15" ht="13.5" customHeight="1" x14ac:dyDescent="0.2">
      <c r="A45" s="61"/>
      <c r="B45" s="48"/>
      <c r="C45" s="58"/>
      <c r="D45" s="588"/>
      <c r="E45" s="589"/>
      <c r="F45" s="575"/>
      <c r="G45" s="576"/>
      <c r="H45" s="62"/>
      <c r="I45" s="68"/>
      <c r="J45" s="63"/>
      <c r="K45" s="71"/>
      <c r="L45" s="68"/>
      <c r="M45" s="72"/>
    </row>
    <row r="46" spans="1:15" ht="13.5" customHeight="1" x14ac:dyDescent="0.2">
      <c r="A46" s="74"/>
      <c r="B46" s="75"/>
      <c r="C46" s="76"/>
      <c r="D46" s="590"/>
      <c r="E46" s="591"/>
      <c r="F46" s="577"/>
      <c r="G46" s="578"/>
      <c r="H46" s="77"/>
      <c r="I46" s="78"/>
      <c r="J46" s="77"/>
      <c r="K46" s="79"/>
      <c r="L46" s="78"/>
      <c r="M46" s="80"/>
    </row>
    <row r="47" spans="1:15" ht="13.9" customHeight="1" x14ac:dyDescent="0.2">
      <c r="A47" s="87" t="s">
        <v>179</v>
      </c>
      <c r="B47" s="54"/>
      <c r="C47" s="55"/>
      <c r="D47" s="586"/>
      <c r="E47" s="587"/>
      <c r="F47" s="573"/>
      <c r="G47" s="574"/>
      <c r="H47" s="592"/>
      <c r="I47" s="593"/>
      <c r="J47" s="579"/>
      <c r="K47" s="580"/>
      <c r="L47" s="56"/>
      <c r="M47" s="57"/>
    </row>
    <row r="48" spans="1:15" ht="13.9" customHeight="1" x14ac:dyDescent="0.2">
      <c r="A48" s="52" t="s">
        <v>175</v>
      </c>
      <c r="C48" s="58"/>
      <c r="D48" s="588"/>
      <c r="E48" s="589"/>
      <c r="F48" s="575"/>
      <c r="G48" s="576"/>
      <c r="H48" s="62"/>
      <c r="I48" s="71"/>
      <c r="J48" s="63"/>
      <c r="K48" s="67"/>
      <c r="L48" s="59"/>
      <c r="M48" s="60"/>
    </row>
    <row r="49" spans="1:13" ht="13.9" customHeight="1" x14ac:dyDescent="0.2">
      <c r="A49" s="61"/>
      <c r="B49" s="48"/>
      <c r="C49" s="58" t="s">
        <v>176</v>
      </c>
      <c r="D49" s="588"/>
      <c r="E49" s="589"/>
      <c r="F49" s="575"/>
      <c r="G49" s="576"/>
      <c r="H49" s="62"/>
      <c r="I49" s="59"/>
      <c r="J49" s="63"/>
      <c r="K49" s="64"/>
      <c r="L49" s="65"/>
      <c r="M49" s="66"/>
    </row>
    <row r="50" spans="1:13" ht="13.9" customHeight="1" x14ac:dyDescent="0.2">
      <c r="A50" s="52"/>
      <c r="B50" s="48"/>
      <c r="C50" s="58"/>
      <c r="D50" s="588"/>
      <c r="E50" s="589"/>
      <c r="F50" s="575"/>
      <c r="G50" s="576"/>
      <c r="H50" s="62"/>
      <c r="I50" s="59"/>
      <c r="J50" s="62"/>
      <c r="K50" s="67"/>
      <c r="L50" s="68"/>
      <c r="M50" s="60"/>
    </row>
    <row r="51" spans="1:13" ht="13.9" customHeight="1" x14ac:dyDescent="0.2">
      <c r="A51" s="52"/>
      <c r="B51" s="48"/>
      <c r="C51" s="69"/>
      <c r="D51" s="588"/>
      <c r="E51" s="589"/>
      <c r="F51" s="575"/>
      <c r="G51" s="576"/>
      <c r="H51" s="62"/>
      <c r="I51" s="59"/>
      <c r="J51" s="63"/>
      <c r="K51" s="67"/>
      <c r="L51" s="68"/>
      <c r="M51" s="60"/>
    </row>
    <row r="52" spans="1:13" ht="13.9" customHeight="1" x14ac:dyDescent="0.2">
      <c r="A52" s="61"/>
      <c r="B52" s="70"/>
      <c r="C52" s="58"/>
      <c r="D52" s="588"/>
      <c r="E52" s="589"/>
      <c r="F52" s="575"/>
      <c r="G52" s="576"/>
      <c r="H52" s="62"/>
      <c r="J52" s="63"/>
      <c r="K52" s="71"/>
      <c r="M52" s="72"/>
    </row>
    <row r="53" spans="1:13" ht="13.9" customHeight="1" x14ac:dyDescent="0.2">
      <c r="A53" s="61"/>
      <c r="B53" s="48"/>
      <c r="C53" s="58"/>
      <c r="D53" s="588"/>
      <c r="E53" s="589"/>
      <c r="F53" s="575"/>
      <c r="G53" s="576"/>
      <c r="H53" s="62"/>
      <c r="I53" s="68"/>
      <c r="J53" s="63"/>
      <c r="K53" s="71"/>
      <c r="L53" s="68"/>
      <c r="M53" s="72"/>
    </row>
    <row r="54" spans="1:13" ht="13.9" customHeight="1" x14ac:dyDescent="0.2">
      <c r="A54" s="74"/>
      <c r="B54" s="75"/>
      <c r="C54" s="76"/>
      <c r="D54" s="590"/>
      <c r="E54" s="591"/>
      <c r="F54" s="577"/>
      <c r="G54" s="578"/>
      <c r="H54" s="77"/>
      <c r="I54" s="78"/>
      <c r="J54" s="77"/>
      <c r="K54" s="79"/>
      <c r="L54" s="78"/>
      <c r="M54" s="80"/>
    </row>
    <row r="55" spans="1:13" ht="13.9" customHeight="1" x14ac:dyDescent="0.2">
      <c r="A55" s="53"/>
      <c r="B55" s="54"/>
      <c r="C55" s="55"/>
      <c r="D55" s="586"/>
      <c r="E55" s="587"/>
      <c r="F55" s="573"/>
      <c r="G55" s="574"/>
      <c r="H55" s="579"/>
      <c r="I55" s="580"/>
      <c r="J55" s="579"/>
      <c r="K55" s="580"/>
      <c r="L55" s="56"/>
      <c r="M55" s="57"/>
    </row>
    <row r="56" spans="1:13" ht="13.9" customHeight="1" x14ac:dyDescent="0.2">
      <c r="A56" s="52"/>
      <c r="C56" s="58"/>
      <c r="D56" s="588"/>
      <c r="E56" s="589"/>
      <c r="F56" s="575"/>
      <c r="G56" s="576"/>
      <c r="H56" s="62"/>
      <c r="I56" s="71"/>
      <c r="J56" s="63"/>
      <c r="K56" s="67"/>
      <c r="L56" s="59"/>
      <c r="M56" s="60"/>
    </row>
    <row r="57" spans="1:13" ht="13.9" customHeight="1" x14ac:dyDescent="0.2">
      <c r="A57" s="61"/>
      <c r="B57" s="48"/>
      <c r="C57" s="58"/>
      <c r="D57" s="588"/>
      <c r="E57" s="589"/>
      <c r="F57" s="575"/>
      <c r="G57" s="576"/>
      <c r="H57" s="62"/>
      <c r="I57" s="59"/>
      <c r="J57" s="63"/>
      <c r="K57" s="64"/>
      <c r="L57" s="65"/>
      <c r="M57" s="66"/>
    </row>
    <row r="58" spans="1:13" ht="13.9" customHeight="1" x14ac:dyDescent="0.2">
      <c r="A58" s="52"/>
      <c r="B58" s="48"/>
      <c r="C58" s="58"/>
      <c r="D58" s="588"/>
      <c r="E58" s="589"/>
      <c r="F58" s="575"/>
      <c r="G58" s="576"/>
      <c r="H58" s="62"/>
      <c r="I58" s="59"/>
      <c r="J58" s="62"/>
      <c r="K58" s="67"/>
      <c r="L58" s="68"/>
      <c r="M58" s="60"/>
    </row>
    <row r="59" spans="1:13" ht="13.9" customHeight="1" x14ac:dyDescent="0.2">
      <c r="A59" s="52"/>
      <c r="B59" s="48"/>
      <c r="C59" s="69"/>
      <c r="D59" s="588"/>
      <c r="E59" s="589"/>
      <c r="F59" s="575"/>
      <c r="G59" s="576"/>
      <c r="H59" s="62"/>
      <c r="I59" s="59"/>
      <c r="J59" s="63"/>
      <c r="K59" s="67"/>
      <c r="L59" s="68"/>
      <c r="M59" s="60"/>
    </row>
    <row r="60" spans="1:13" ht="15" customHeight="1" x14ac:dyDescent="0.2">
      <c r="A60" s="61"/>
      <c r="B60" s="70"/>
      <c r="C60" s="58"/>
      <c r="D60" s="588"/>
      <c r="E60" s="589"/>
      <c r="F60" s="575"/>
      <c r="G60" s="576"/>
      <c r="H60" s="62"/>
      <c r="J60" s="63"/>
      <c r="K60" s="71"/>
      <c r="M60" s="72"/>
    </row>
    <row r="61" spans="1:13" ht="13.9" customHeight="1" x14ac:dyDescent="0.2">
      <c r="A61" s="61"/>
      <c r="B61" s="48"/>
      <c r="C61" s="58"/>
      <c r="D61" s="588"/>
      <c r="E61" s="589"/>
      <c r="F61" s="575"/>
      <c r="G61" s="576"/>
      <c r="H61" s="62"/>
      <c r="I61" s="68"/>
      <c r="J61" s="63"/>
      <c r="K61" s="71"/>
      <c r="L61" s="68"/>
      <c r="M61" s="72"/>
    </row>
    <row r="62" spans="1:13" ht="13.9" customHeight="1" x14ac:dyDescent="0.2">
      <c r="A62" s="74"/>
      <c r="B62" s="75"/>
      <c r="C62" s="76"/>
      <c r="D62" s="590"/>
      <c r="E62" s="591"/>
      <c r="F62" s="577"/>
      <c r="G62" s="578"/>
      <c r="H62" s="77"/>
      <c r="I62" s="78"/>
      <c r="J62" s="77"/>
      <c r="K62" s="79"/>
      <c r="L62" s="78"/>
      <c r="M62" s="80"/>
    </row>
    <row r="63" spans="1:13" ht="13.9" customHeight="1" x14ac:dyDescent="0.2">
      <c r="A63" s="84"/>
      <c r="B63" s="54"/>
      <c r="C63" s="55"/>
      <c r="D63" s="586"/>
      <c r="E63" s="587"/>
      <c r="F63" s="573"/>
      <c r="G63" s="574"/>
      <c r="H63" s="85"/>
      <c r="I63" s="86"/>
      <c r="J63" s="85"/>
      <c r="K63" s="86"/>
      <c r="L63" s="56"/>
      <c r="M63" s="57"/>
    </row>
    <row r="64" spans="1:13" ht="13.9" customHeight="1" x14ac:dyDescent="0.2">
      <c r="A64" s="52"/>
      <c r="C64" s="58"/>
      <c r="D64" s="588"/>
      <c r="E64" s="589"/>
      <c r="F64" s="575"/>
      <c r="G64" s="576"/>
      <c r="H64" s="62"/>
      <c r="I64" s="71"/>
      <c r="J64" s="63"/>
      <c r="K64" s="67"/>
      <c r="L64" s="59"/>
      <c r="M64" s="60"/>
    </row>
    <row r="65" spans="1:13" ht="13.9" customHeight="1" x14ac:dyDescent="0.2">
      <c r="A65" s="61"/>
      <c r="B65" s="48"/>
      <c r="C65" s="58"/>
      <c r="D65" s="588"/>
      <c r="E65" s="589"/>
      <c r="F65" s="575"/>
      <c r="G65" s="576"/>
      <c r="H65" s="62"/>
      <c r="I65" s="59"/>
      <c r="J65" s="63"/>
      <c r="K65" s="64"/>
      <c r="L65" s="65"/>
      <c r="M65" s="66"/>
    </row>
    <row r="66" spans="1:13" ht="13.9" customHeight="1" x14ac:dyDescent="0.2">
      <c r="A66" s="52"/>
      <c r="B66" s="48"/>
      <c r="C66" s="58"/>
      <c r="D66" s="588"/>
      <c r="E66" s="589"/>
      <c r="F66" s="575"/>
      <c r="G66" s="576"/>
      <c r="H66" s="62"/>
      <c r="I66" s="59"/>
      <c r="J66" s="62"/>
      <c r="K66" s="67"/>
      <c r="L66" s="68"/>
      <c r="M66" s="60"/>
    </row>
    <row r="67" spans="1:13" ht="13.9" customHeight="1" x14ac:dyDescent="0.2">
      <c r="A67" s="52"/>
      <c r="B67" s="48"/>
      <c r="C67" s="69"/>
      <c r="D67" s="588"/>
      <c r="E67" s="589"/>
      <c r="F67" s="575"/>
      <c r="G67" s="576"/>
      <c r="H67" s="62"/>
      <c r="I67" s="59"/>
      <c r="J67" s="63"/>
      <c r="K67" s="67"/>
      <c r="L67" s="68"/>
      <c r="M67" s="60"/>
    </row>
    <row r="68" spans="1:13" ht="15" customHeight="1" x14ac:dyDescent="0.2">
      <c r="A68" s="61"/>
      <c r="B68" s="70"/>
      <c r="C68" s="58"/>
      <c r="D68" s="588"/>
      <c r="E68" s="589"/>
      <c r="F68" s="575"/>
      <c r="G68" s="576"/>
      <c r="H68" s="62"/>
      <c r="J68" s="63"/>
      <c r="K68" s="71"/>
      <c r="M68" s="72"/>
    </row>
    <row r="69" spans="1:13" ht="13.9" customHeight="1" x14ac:dyDescent="0.2">
      <c r="A69" s="61"/>
      <c r="B69" s="48"/>
      <c r="C69" s="58"/>
      <c r="D69" s="588"/>
      <c r="E69" s="589"/>
      <c r="F69" s="575"/>
      <c r="G69" s="576"/>
      <c r="H69" s="62"/>
      <c r="I69" s="68"/>
      <c r="J69" s="63"/>
      <c r="K69" s="71"/>
      <c r="L69" s="68"/>
      <c r="M69" s="72"/>
    </row>
    <row r="70" spans="1:13" ht="13.9" customHeight="1" x14ac:dyDescent="0.2">
      <c r="A70" s="74"/>
      <c r="B70" s="75"/>
      <c r="C70" s="76"/>
      <c r="D70" s="590"/>
      <c r="E70" s="591"/>
      <c r="F70" s="577"/>
      <c r="G70" s="578"/>
      <c r="H70" s="77"/>
      <c r="I70" s="78"/>
      <c r="J70" s="77"/>
      <c r="K70" s="79"/>
      <c r="L70" s="78"/>
      <c r="M70" s="80"/>
    </row>
    <row r="71" spans="1:13" ht="14.25" customHeight="1" x14ac:dyDescent="0.2">
      <c r="A71" s="87"/>
      <c r="B71" s="88"/>
      <c r="C71" s="86"/>
      <c r="D71" s="573"/>
      <c r="E71" s="584"/>
      <c r="F71" s="573"/>
      <c r="G71" s="574"/>
      <c r="H71" s="579"/>
      <c r="I71" s="580"/>
      <c r="J71" s="89"/>
      <c r="K71" s="86"/>
      <c r="L71" s="90"/>
      <c r="M71" s="57"/>
    </row>
    <row r="72" spans="1:13" ht="12.75" customHeight="1" x14ac:dyDescent="0.2">
      <c r="A72" s="52"/>
      <c r="C72" s="67"/>
      <c r="D72" s="575"/>
      <c r="E72" s="581"/>
      <c r="F72" s="575"/>
      <c r="G72" s="576"/>
      <c r="H72" s="62"/>
      <c r="I72" s="71"/>
      <c r="J72" s="63"/>
      <c r="K72" s="67"/>
      <c r="L72" s="63"/>
      <c r="M72" s="60"/>
    </row>
    <row r="73" spans="1:13" ht="15" customHeight="1" x14ac:dyDescent="0.2">
      <c r="A73" s="52"/>
      <c r="C73" s="67"/>
      <c r="D73" s="575"/>
      <c r="E73" s="581"/>
      <c r="F73" s="575"/>
      <c r="G73" s="576"/>
      <c r="H73" s="62"/>
      <c r="I73" s="59"/>
      <c r="J73" s="63"/>
      <c r="K73" s="64"/>
      <c r="L73" s="63"/>
      <c r="M73" s="66"/>
    </row>
    <row r="74" spans="1:13" ht="15" customHeight="1" x14ac:dyDescent="0.2">
      <c r="A74" s="52"/>
      <c r="C74" s="67"/>
      <c r="D74" s="575"/>
      <c r="E74" s="581"/>
      <c r="F74" s="575"/>
      <c r="G74" s="576"/>
      <c r="H74" s="62"/>
      <c r="I74" s="59"/>
      <c r="J74" s="62"/>
      <c r="K74" s="67"/>
      <c r="L74" s="63"/>
      <c r="M74" s="60"/>
    </row>
    <row r="75" spans="1:13" ht="12.75" customHeight="1" x14ac:dyDescent="0.2">
      <c r="A75" s="52"/>
      <c r="C75" s="67"/>
      <c r="D75" s="575"/>
      <c r="E75" s="581"/>
      <c r="F75" s="575"/>
      <c r="G75" s="576"/>
      <c r="H75" s="62"/>
      <c r="I75" s="59"/>
      <c r="J75" s="63"/>
      <c r="K75" s="67"/>
      <c r="L75" s="91"/>
      <c r="M75" s="60"/>
    </row>
    <row r="76" spans="1:13" ht="13.9" customHeight="1" x14ac:dyDescent="0.2">
      <c r="A76" s="52"/>
      <c r="C76" s="67"/>
      <c r="D76" s="575"/>
      <c r="E76" s="581"/>
      <c r="F76" s="575"/>
      <c r="G76" s="576"/>
      <c r="H76" s="62"/>
      <c r="J76" s="63"/>
      <c r="K76" s="71"/>
      <c r="L76" s="92"/>
      <c r="M76" s="72"/>
    </row>
    <row r="77" spans="1:13" ht="13.9" customHeight="1" x14ac:dyDescent="0.2">
      <c r="A77" s="52"/>
      <c r="C77" s="67"/>
      <c r="D77" s="575"/>
      <c r="E77" s="581"/>
      <c r="F77" s="575"/>
      <c r="G77" s="576"/>
      <c r="H77" s="62"/>
      <c r="I77" s="68"/>
      <c r="J77" s="63"/>
      <c r="K77" s="71"/>
      <c r="L77" s="68"/>
      <c r="M77" s="72"/>
    </row>
    <row r="78" spans="1:13" ht="13.9" customHeight="1" x14ac:dyDescent="0.2">
      <c r="A78" s="93"/>
      <c r="B78" s="78"/>
      <c r="C78" s="79"/>
      <c r="D78" s="577"/>
      <c r="E78" s="585"/>
      <c r="F78" s="577"/>
      <c r="G78" s="578"/>
      <c r="H78" s="77"/>
      <c r="I78" s="78"/>
      <c r="J78" s="77"/>
      <c r="K78" s="79"/>
      <c r="L78" s="78"/>
      <c r="M78" s="80"/>
    </row>
    <row r="79" spans="1:13" ht="13.9" customHeight="1" x14ac:dyDescent="0.2">
      <c r="A79" s="90"/>
      <c r="B79" s="88"/>
      <c r="C79" s="86"/>
      <c r="D79" s="573"/>
      <c r="E79" s="584"/>
      <c r="F79" s="573"/>
      <c r="G79" s="584"/>
      <c r="H79" s="89"/>
      <c r="I79" s="86"/>
      <c r="J79" s="90"/>
      <c r="K79" s="86"/>
      <c r="L79" s="56"/>
      <c r="M79" s="57"/>
    </row>
    <row r="80" spans="1:13" ht="13.9" customHeight="1" x14ac:dyDescent="0.2">
      <c r="A80" s="52"/>
      <c r="C80" s="67"/>
      <c r="D80" s="575"/>
      <c r="E80" s="581"/>
      <c r="F80" s="575"/>
      <c r="G80" s="581"/>
      <c r="H80" s="62"/>
      <c r="I80" s="71"/>
      <c r="J80" s="63"/>
      <c r="K80" s="67"/>
      <c r="L80" s="59"/>
      <c r="M80" s="60"/>
    </row>
    <row r="81" spans="1:13" ht="13.9" customHeight="1" x14ac:dyDescent="0.2">
      <c r="A81" s="52"/>
      <c r="C81" s="67"/>
      <c r="D81" s="575"/>
      <c r="E81" s="581"/>
      <c r="F81" s="575"/>
      <c r="G81" s="581"/>
      <c r="H81" s="62"/>
      <c r="I81" s="59"/>
      <c r="J81" s="63"/>
      <c r="K81" s="64"/>
      <c r="L81" s="65"/>
      <c r="M81" s="66"/>
    </row>
    <row r="82" spans="1:13" ht="13.9" customHeight="1" x14ac:dyDescent="0.2">
      <c r="A82" s="52"/>
      <c r="C82" s="67"/>
      <c r="D82" s="575"/>
      <c r="E82" s="581"/>
      <c r="F82" s="575"/>
      <c r="G82" s="581"/>
      <c r="H82" s="62"/>
      <c r="I82" s="59"/>
      <c r="J82" s="63"/>
      <c r="K82" s="67"/>
      <c r="L82" s="68"/>
      <c r="M82" s="60"/>
    </row>
    <row r="83" spans="1:13" ht="13.9" customHeight="1" x14ac:dyDescent="0.2">
      <c r="A83" s="52"/>
      <c r="C83" s="67"/>
      <c r="D83" s="575"/>
      <c r="E83" s="581"/>
      <c r="F83" s="575"/>
      <c r="G83" s="581"/>
      <c r="H83" s="62"/>
      <c r="I83" s="59"/>
      <c r="J83" s="91"/>
      <c r="K83" s="67"/>
      <c r="L83" s="68"/>
      <c r="M83" s="60"/>
    </row>
    <row r="84" spans="1:13" ht="13.9" customHeight="1" x14ac:dyDescent="0.2">
      <c r="A84" s="52"/>
      <c r="C84" s="67"/>
      <c r="D84" s="575"/>
      <c r="E84" s="581"/>
      <c r="F84" s="575"/>
      <c r="G84" s="581"/>
      <c r="H84" s="62"/>
      <c r="J84" s="92"/>
      <c r="K84" s="71"/>
      <c r="M84" s="72"/>
    </row>
    <row r="85" spans="1:13" ht="13.9" customHeight="1" x14ac:dyDescent="0.2">
      <c r="A85" s="52"/>
      <c r="C85" s="67"/>
      <c r="D85" s="575"/>
      <c r="E85" s="581"/>
      <c r="F85" s="575"/>
      <c r="G85" s="581"/>
      <c r="H85" s="62"/>
      <c r="I85" s="68"/>
      <c r="J85" s="63"/>
      <c r="K85" s="71"/>
      <c r="L85" s="68"/>
      <c r="M85" s="72"/>
    </row>
    <row r="86" spans="1:13" ht="13.9" customHeight="1" x14ac:dyDescent="0.2">
      <c r="A86" s="93"/>
      <c r="B86" s="78"/>
      <c r="C86" s="79"/>
      <c r="D86" s="577"/>
      <c r="E86" s="585"/>
      <c r="F86" s="577"/>
      <c r="G86" s="585"/>
      <c r="H86" s="77"/>
      <c r="I86" s="78"/>
      <c r="J86" s="77"/>
      <c r="K86" s="79"/>
      <c r="L86" s="78"/>
      <c r="M86" s="80"/>
    </row>
    <row r="87" spans="1:13" ht="13.9" customHeight="1" x14ac:dyDescent="0.2">
      <c r="A87" s="90" t="s">
        <v>160</v>
      </c>
      <c r="B87" s="88"/>
      <c r="C87" s="86"/>
      <c r="D87" s="573"/>
      <c r="E87" s="574"/>
      <c r="F87" s="573">
        <v>1</v>
      </c>
      <c r="G87" s="584"/>
      <c r="H87" s="579" t="s">
        <v>109</v>
      </c>
      <c r="I87" s="580"/>
      <c r="J87" s="89"/>
      <c r="K87" s="86"/>
      <c r="L87" s="56"/>
      <c r="M87" s="57"/>
    </row>
    <row r="88" spans="1:13" ht="13.9" customHeight="1" x14ac:dyDescent="0.2">
      <c r="A88" s="52" t="s">
        <v>161</v>
      </c>
      <c r="C88" s="67"/>
      <c r="D88" s="575"/>
      <c r="E88" s="576"/>
      <c r="F88" s="575"/>
      <c r="G88" s="581"/>
      <c r="H88" s="62"/>
      <c r="I88" s="71"/>
      <c r="J88" s="63"/>
      <c r="K88" s="67"/>
      <c r="L88" s="59"/>
      <c r="M88" s="60"/>
    </row>
    <row r="89" spans="1:13" ht="13.9" customHeight="1" x14ac:dyDescent="0.2">
      <c r="A89" s="52"/>
      <c r="C89" s="67"/>
      <c r="D89" s="575"/>
      <c r="E89" s="576"/>
      <c r="F89" s="575"/>
      <c r="G89" s="581"/>
      <c r="H89" s="62"/>
      <c r="I89" s="59"/>
      <c r="J89" s="63"/>
      <c r="K89" s="64"/>
      <c r="L89" s="65"/>
      <c r="M89" s="66"/>
    </row>
    <row r="90" spans="1:13" ht="13.9" customHeight="1" x14ac:dyDescent="0.2">
      <c r="A90" s="52"/>
      <c r="C90" s="67"/>
      <c r="D90" s="575"/>
      <c r="E90" s="576"/>
      <c r="F90" s="575"/>
      <c r="G90" s="581"/>
      <c r="H90" s="62"/>
      <c r="I90" s="59"/>
      <c r="J90" s="62"/>
      <c r="K90" s="67"/>
      <c r="L90" s="68"/>
      <c r="M90" s="60"/>
    </row>
    <row r="91" spans="1:13" ht="13.9" customHeight="1" x14ac:dyDescent="0.2">
      <c r="A91" s="52"/>
      <c r="C91" s="67"/>
      <c r="D91" s="575"/>
      <c r="E91" s="576"/>
      <c r="F91" s="575"/>
      <c r="G91" s="581"/>
      <c r="H91" s="62"/>
      <c r="I91" s="59"/>
      <c r="J91" s="63"/>
      <c r="K91" s="67"/>
      <c r="L91" s="68"/>
      <c r="M91" s="60"/>
    </row>
    <row r="92" spans="1:13" ht="13.9" customHeight="1" x14ac:dyDescent="0.2">
      <c r="A92" s="52"/>
      <c r="C92" s="67"/>
      <c r="D92" s="575"/>
      <c r="E92" s="576"/>
      <c r="F92" s="575"/>
      <c r="G92" s="581"/>
      <c r="H92" s="62"/>
      <c r="J92" s="63"/>
      <c r="K92" s="71"/>
      <c r="M92" s="72"/>
    </row>
    <row r="93" spans="1:13" ht="13.9" customHeight="1" x14ac:dyDescent="0.2">
      <c r="A93" s="52"/>
      <c r="C93" s="67"/>
      <c r="D93" s="575"/>
      <c r="E93" s="576"/>
      <c r="F93" s="575"/>
      <c r="G93" s="581"/>
      <c r="H93" s="62"/>
      <c r="I93" s="68"/>
      <c r="J93" s="63"/>
      <c r="K93" s="71"/>
      <c r="L93" s="68"/>
      <c r="M93" s="72"/>
    </row>
    <row r="94" spans="1:13" ht="12.75" customHeight="1" x14ac:dyDescent="0.2">
      <c r="A94" s="93"/>
      <c r="B94" s="78"/>
      <c r="C94" s="79"/>
      <c r="D94" s="577"/>
      <c r="E94" s="578"/>
      <c r="F94" s="577"/>
      <c r="G94" s="585"/>
      <c r="H94" s="77"/>
      <c r="I94" s="78"/>
      <c r="J94" s="77"/>
      <c r="K94" s="79"/>
      <c r="L94" s="78"/>
      <c r="M94" s="80"/>
    </row>
    <row r="95" spans="1:13" ht="13.9" customHeight="1" x14ac:dyDescent="0.2">
      <c r="A95" s="90" t="s">
        <v>160</v>
      </c>
      <c r="B95" s="94"/>
      <c r="C95" s="55"/>
      <c r="D95" s="573"/>
      <c r="E95" s="574"/>
      <c r="F95" s="573">
        <v>1</v>
      </c>
      <c r="G95" s="574"/>
      <c r="H95" s="579" t="s">
        <v>110</v>
      </c>
      <c r="I95" s="580"/>
      <c r="J95" s="89"/>
      <c r="K95" s="86"/>
      <c r="L95" s="101"/>
      <c r="M95" s="57"/>
    </row>
    <row r="96" spans="1:13" ht="13.9" customHeight="1" x14ac:dyDescent="0.2">
      <c r="A96" s="95" t="s">
        <v>162</v>
      </c>
      <c r="B96" s="96"/>
      <c r="C96" s="58"/>
      <c r="D96" s="575"/>
      <c r="E96" s="576"/>
      <c r="F96" s="575"/>
      <c r="G96" s="576"/>
      <c r="H96" s="62"/>
      <c r="I96" s="71"/>
      <c r="J96" s="63"/>
      <c r="K96" s="67"/>
      <c r="L96" s="62"/>
      <c r="M96" s="60"/>
    </row>
    <row r="97" spans="1:13" ht="13.9" customHeight="1" x14ac:dyDescent="0.2">
      <c r="A97" s="97"/>
      <c r="C97" s="58"/>
      <c r="D97" s="575"/>
      <c r="E97" s="576"/>
      <c r="F97" s="575"/>
      <c r="G97" s="576"/>
      <c r="H97" s="62"/>
      <c r="I97" s="59"/>
      <c r="J97" s="63"/>
      <c r="K97" s="64"/>
      <c r="L97" s="102"/>
      <c r="M97" s="66"/>
    </row>
    <row r="98" spans="1:13" ht="13.9" customHeight="1" x14ac:dyDescent="0.2">
      <c r="A98" s="98"/>
      <c r="B98" s="96"/>
      <c r="C98" s="58"/>
      <c r="D98" s="575"/>
      <c r="E98" s="576"/>
      <c r="F98" s="575"/>
      <c r="G98" s="576"/>
      <c r="H98" s="62"/>
      <c r="I98" s="59"/>
      <c r="J98" s="62"/>
      <c r="K98" s="67"/>
      <c r="L98" s="103"/>
      <c r="M98" s="60"/>
    </row>
    <row r="99" spans="1:13" ht="13.9" customHeight="1" x14ac:dyDescent="0.2">
      <c r="A99" s="92"/>
      <c r="B99" s="96"/>
      <c r="C99" s="69"/>
      <c r="D99" s="575"/>
      <c r="E99" s="576"/>
      <c r="F99" s="575"/>
      <c r="G99" s="576"/>
      <c r="H99" s="62"/>
      <c r="I99" s="59"/>
      <c r="J99" s="63"/>
      <c r="K99" s="67"/>
      <c r="L99" s="103"/>
      <c r="M99" s="60"/>
    </row>
    <row r="100" spans="1:13" ht="13.9" customHeight="1" x14ac:dyDescent="0.2">
      <c r="A100" s="63"/>
      <c r="C100" s="58"/>
      <c r="D100" s="575"/>
      <c r="E100" s="576"/>
      <c r="F100" s="575"/>
      <c r="G100" s="576"/>
      <c r="H100" s="62"/>
      <c r="J100" s="63"/>
      <c r="K100" s="71"/>
      <c r="L100" s="63"/>
      <c r="M100" s="72"/>
    </row>
    <row r="101" spans="1:13" ht="13.9" customHeight="1" x14ac:dyDescent="0.2">
      <c r="A101" s="99"/>
      <c r="B101" s="100"/>
      <c r="C101" s="58"/>
      <c r="D101" s="575"/>
      <c r="E101" s="576"/>
      <c r="F101" s="575"/>
      <c r="G101" s="576"/>
      <c r="H101" s="62"/>
      <c r="I101" s="68"/>
      <c r="J101" s="63"/>
      <c r="K101" s="71"/>
      <c r="L101" s="103"/>
      <c r="M101" s="72"/>
    </row>
    <row r="102" spans="1:13" ht="14.45" customHeight="1" x14ac:dyDescent="0.2">
      <c r="A102" s="77"/>
      <c r="B102" s="78"/>
      <c r="C102" s="76"/>
      <c r="D102" s="577"/>
      <c r="E102" s="578"/>
      <c r="F102" s="577"/>
      <c r="G102" s="578"/>
      <c r="H102" s="77"/>
      <c r="I102" s="78"/>
      <c r="J102" s="77"/>
      <c r="K102" s="79"/>
      <c r="L102" s="77"/>
      <c r="M102" s="80"/>
    </row>
    <row r="103" spans="1:13" ht="13.9" customHeight="1" x14ac:dyDescent="0.2">
      <c r="A103" s="90" t="s">
        <v>160</v>
      </c>
      <c r="B103" s="94"/>
      <c r="C103" s="55"/>
      <c r="D103" s="575"/>
      <c r="E103" s="581"/>
      <c r="F103" s="575">
        <v>1</v>
      </c>
      <c r="G103" s="581"/>
      <c r="H103" s="579"/>
      <c r="I103" s="580"/>
      <c r="J103" s="63"/>
      <c r="K103" s="67"/>
      <c r="L103" s="59"/>
      <c r="M103" s="60"/>
    </row>
    <row r="104" spans="1:13" ht="13.9" customHeight="1" x14ac:dyDescent="0.2">
      <c r="A104" s="571" t="s">
        <v>163</v>
      </c>
      <c r="B104" s="570"/>
      <c r="C104" s="572"/>
      <c r="D104" s="575"/>
      <c r="E104" s="581"/>
      <c r="F104" s="575"/>
      <c r="G104" s="581"/>
      <c r="H104" s="62"/>
      <c r="I104" s="71"/>
      <c r="J104" s="63"/>
      <c r="K104" s="67"/>
      <c r="L104" s="59"/>
      <c r="M104" s="60"/>
    </row>
    <row r="105" spans="1:13" ht="13.9" customHeight="1" x14ac:dyDescent="0.2">
      <c r="A105" s="97"/>
      <c r="C105" s="58"/>
      <c r="D105" s="575"/>
      <c r="E105" s="581"/>
      <c r="F105" s="575"/>
      <c r="G105" s="581"/>
      <c r="H105" s="62"/>
      <c r="I105" s="59"/>
      <c r="J105" s="63"/>
      <c r="K105" s="64"/>
      <c r="L105" s="65"/>
      <c r="M105" s="66"/>
    </row>
    <row r="106" spans="1:13" ht="13.9" customHeight="1" x14ac:dyDescent="0.2">
      <c r="A106" s="98"/>
      <c r="B106" s="96"/>
      <c r="C106" s="58"/>
      <c r="D106" s="575"/>
      <c r="E106" s="581"/>
      <c r="F106" s="575"/>
      <c r="G106" s="581"/>
      <c r="H106" s="62"/>
      <c r="I106" s="59"/>
      <c r="J106" s="62"/>
      <c r="K106" s="67"/>
      <c r="L106" s="68"/>
      <c r="M106" s="60"/>
    </row>
    <row r="107" spans="1:13" ht="13.9" customHeight="1" x14ac:dyDescent="0.2">
      <c r="A107" s="92"/>
      <c r="B107" s="96"/>
      <c r="C107" s="69"/>
      <c r="D107" s="575"/>
      <c r="E107" s="581"/>
      <c r="F107" s="575"/>
      <c r="G107" s="581"/>
      <c r="H107" s="62"/>
      <c r="I107" s="59"/>
      <c r="J107" s="63"/>
      <c r="K107" s="67"/>
      <c r="L107" s="68"/>
      <c r="M107" s="60"/>
    </row>
    <row r="108" spans="1:13" ht="13.9" customHeight="1" x14ac:dyDescent="0.2">
      <c r="A108" s="63"/>
      <c r="C108" s="58"/>
      <c r="D108" s="575"/>
      <c r="E108" s="581"/>
      <c r="F108" s="575"/>
      <c r="G108" s="581"/>
      <c r="H108" s="62"/>
      <c r="J108" s="63"/>
      <c r="K108" s="71"/>
      <c r="M108" s="72"/>
    </row>
    <row r="109" spans="1:13" ht="13.9" customHeight="1" x14ac:dyDescent="0.2">
      <c r="A109" s="99"/>
      <c r="B109" s="100"/>
      <c r="C109" s="58"/>
      <c r="D109" s="575"/>
      <c r="E109" s="581"/>
      <c r="F109" s="575"/>
      <c r="G109" s="581"/>
      <c r="H109" s="62"/>
      <c r="I109" s="68"/>
      <c r="J109" s="63"/>
      <c r="K109" s="71"/>
      <c r="L109" s="68"/>
      <c r="M109" s="72"/>
    </row>
    <row r="110" spans="1:13" ht="14.45" customHeight="1" thickBot="1" x14ac:dyDescent="0.25">
      <c r="A110" s="77"/>
      <c r="B110" s="78"/>
      <c r="C110" s="76"/>
      <c r="D110" s="582"/>
      <c r="E110" s="583"/>
      <c r="F110" s="582"/>
      <c r="G110" s="583"/>
      <c r="H110" s="104"/>
      <c r="I110" s="105"/>
      <c r="J110" s="104"/>
      <c r="K110" s="106"/>
      <c r="L110" s="105"/>
      <c r="M110" s="107"/>
    </row>
    <row r="111" spans="1:13" ht="25.5" customHeight="1" x14ac:dyDescent="0.2">
      <c r="A111" s="561"/>
      <c r="B111" s="562"/>
      <c r="C111" s="563"/>
      <c r="D111" s="563"/>
      <c r="E111" s="563"/>
      <c r="F111" s="563"/>
      <c r="G111" s="563"/>
      <c r="H111" s="563"/>
      <c r="I111" s="563"/>
      <c r="J111" s="563"/>
      <c r="K111" s="563"/>
      <c r="L111" s="564"/>
      <c r="M111" s="564"/>
    </row>
    <row r="112" spans="1:13" ht="30" customHeight="1" x14ac:dyDescent="0.2">
      <c r="A112" s="561"/>
      <c r="B112" s="562"/>
      <c r="C112" s="563"/>
      <c r="D112" s="563"/>
      <c r="E112" s="563"/>
      <c r="F112" s="563"/>
      <c r="G112" s="563"/>
      <c r="H112" s="563"/>
      <c r="I112" s="563"/>
      <c r="J112" s="563"/>
      <c r="K112" s="563"/>
      <c r="L112" s="564"/>
      <c r="M112" s="564"/>
    </row>
    <row r="113" spans="1:11" x14ac:dyDescent="0.2">
      <c r="A113" s="108"/>
      <c r="F113" s="108"/>
    </row>
    <row r="116" spans="1:11" x14ac:dyDescent="0.2">
      <c r="F116" s="108"/>
    </row>
    <row r="117" spans="1:11" x14ac:dyDescent="0.2">
      <c r="E117" s="109"/>
      <c r="J117" s="110"/>
      <c r="K117" s="110"/>
    </row>
    <row r="118" spans="1:11" x14ac:dyDescent="0.2">
      <c r="A118" s="108"/>
      <c r="E118" s="108"/>
      <c r="F118" s="111"/>
    </row>
    <row r="119" spans="1:11" x14ac:dyDescent="0.2">
      <c r="A119" s="108"/>
      <c r="B119" s="112"/>
      <c r="E119" s="108"/>
      <c r="F119" s="108"/>
      <c r="G119" s="113"/>
      <c r="H119" s="113"/>
      <c r="I119" s="113"/>
      <c r="J119" s="51"/>
    </row>
    <row r="120" spans="1:11" x14ac:dyDescent="0.2">
      <c r="A120" s="108"/>
      <c r="B120" s="111"/>
      <c r="F120" s="108"/>
    </row>
    <row r="121" spans="1:11" x14ac:dyDescent="0.2">
      <c r="A121" s="108"/>
      <c r="B121" s="114"/>
      <c r="D121" s="51"/>
      <c r="F121" s="108"/>
      <c r="G121" s="109"/>
      <c r="H121" s="109"/>
      <c r="I121" s="109"/>
      <c r="K121" s="110"/>
    </row>
    <row r="122" spans="1:11" x14ac:dyDescent="0.2">
      <c r="B122" s="115"/>
      <c r="G122" s="110"/>
      <c r="H122" s="110"/>
      <c r="I122" s="110"/>
      <c r="J122" s="110"/>
      <c r="K122" s="110"/>
    </row>
    <row r="123" spans="1:11" x14ac:dyDescent="0.2">
      <c r="A123" s="108"/>
      <c r="F123" s="108"/>
    </row>
    <row r="126" spans="1:11" x14ac:dyDescent="0.2">
      <c r="F126" s="108"/>
    </row>
    <row r="127" spans="1:11" x14ac:dyDescent="0.2">
      <c r="E127" s="109"/>
      <c r="J127" s="110"/>
      <c r="K127" s="110"/>
    </row>
    <row r="128" spans="1:11" x14ac:dyDescent="0.2">
      <c r="A128" s="108"/>
      <c r="E128" s="108"/>
      <c r="F128" s="111"/>
    </row>
    <row r="129" spans="1:11" x14ac:dyDescent="0.2">
      <c r="A129" s="108"/>
      <c r="B129" s="112"/>
      <c r="E129" s="108"/>
      <c r="F129" s="108"/>
      <c r="G129" s="113"/>
      <c r="H129" s="113"/>
      <c r="I129" s="113"/>
      <c r="J129" s="51"/>
    </row>
    <row r="130" spans="1:11" x14ac:dyDescent="0.2">
      <c r="A130" s="108"/>
      <c r="B130" s="111"/>
      <c r="F130" s="108"/>
    </row>
    <row r="131" spans="1:11" x14ac:dyDescent="0.2">
      <c r="A131" s="108"/>
      <c r="B131" s="114"/>
      <c r="D131" s="51"/>
      <c r="F131" s="108"/>
      <c r="G131" s="109"/>
      <c r="H131" s="109"/>
      <c r="I131" s="109"/>
      <c r="K131" s="110"/>
    </row>
    <row r="132" spans="1:11" x14ac:dyDescent="0.2">
      <c r="B132" s="115"/>
      <c r="G132" s="110"/>
      <c r="H132" s="110"/>
      <c r="I132" s="110"/>
      <c r="J132" s="110"/>
      <c r="K132" s="110"/>
    </row>
    <row r="133" spans="1:11" x14ac:dyDescent="0.2">
      <c r="A133" s="108"/>
      <c r="F133" s="108"/>
    </row>
    <row r="136" spans="1:11" x14ac:dyDescent="0.2">
      <c r="F136" s="108"/>
    </row>
    <row r="137" spans="1:11" x14ac:dyDescent="0.2">
      <c r="E137" s="109"/>
      <c r="J137" s="110"/>
      <c r="K137" s="110"/>
    </row>
    <row r="138" spans="1:11" x14ac:dyDescent="0.2">
      <c r="A138" s="108"/>
      <c r="E138" s="108"/>
      <c r="F138" s="111"/>
    </row>
    <row r="139" spans="1:11" x14ac:dyDescent="0.2">
      <c r="A139" s="108"/>
      <c r="B139" s="112"/>
      <c r="E139" s="108"/>
      <c r="F139" s="108"/>
      <c r="G139" s="113"/>
      <c r="H139" s="113"/>
      <c r="I139" s="113"/>
      <c r="J139" s="51"/>
    </row>
    <row r="140" spans="1:11" x14ac:dyDescent="0.2">
      <c r="A140" s="108"/>
      <c r="B140" s="111"/>
      <c r="F140" s="108"/>
    </row>
    <row r="141" spans="1:11" x14ac:dyDescent="0.2">
      <c r="A141" s="108"/>
      <c r="B141" s="114"/>
      <c r="D141" s="51"/>
      <c r="F141" s="108"/>
      <c r="G141" s="109"/>
      <c r="H141" s="109"/>
      <c r="I141" s="109"/>
      <c r="K141" s="110"/>
    </row>
    <row r="142" spans="1:11" x14ac:dyDescent="0.2">
      <c r="B142" s="115"/>
      <c r="G142" s="110"/>
      <c r="H142" s="110"/>
      <c r="I142" s="110"/>
      <c r="J142" s="110"/>
      <c r="K142" s="110"/>
    </row>
    <row r="143" spans="1:11" x14ac:dyDescent="0.2">
      <c r="A143" s="108"/>
      <c r="F143" s="108"/>
    </row>
    <row r="146" spans="1:11" x14ac:dyDescent="0.2">
      <c r="F146" s="108"/>
    </row>
    <row r="147" spans="1:11" x14ac:dyDescent="0.2">
      <c r="E147" s="109"/>
      <c r="J147" s="110"/>
      <c r="K147" s="110"/>
    </row>
    <row r="148" spans="1:11" x14ac:dyDescent="0.2">
      <c r="A148" s="108"/>
      <c r="E148" s="108"/>
      <c r="F148" s="111"/>
    </row>
    <row r="149" spans="1:11" x14ac:dyDescent="0.2">
      <c r="A149" s="108"/>
      <c r="B149" s="112"/>
      <c r="E149" s="108"/>
      <c r="F149" s="108"/>
      <c r="G149" s="113"/>
      <c r="H149" s="113"/>
      <c r="I149" s="113"/>
      <c r="J149" s="51"/>
    </row>
    <row r="150" spans="1:11" x14ac:dyDescent="0.2">
      <c r="A150" s="108"/>
      <c r="B150" s="111"/>
      <c r="F150" s="108"/>
    </row>
    <row r="151" spans="1:11" x14ac:dyDescent="0.2">
      <c r="A151" s="108"/>
      <c r="B151" s="114"/>
      <c r="D151" s="51"/>
      <c r="F151" s="108"/>
      <c r="G151" s="109"/>
      <c r="H151" s="109"/>
      <c r="I151" s="109"/>
      <c r="K151" s="110"/>
    </row>
    <row r="152" spans="1:11" x14ac:dyDescent="0.2">
      <c r="B152" s="115"/>
      <c r="G152" s="110"/>
      <c r="H152" s="110"/>
      <c r="I152" s="110"/>
      <c r="J152" s="110"/>
      <c r="K152" s="110"/>
    </row>
    <row r="153" spans="1:11" x14ac:dyDescent="0.2">
      <c r="A153" s="108"/>
      <c r="F153" s="108"/>
    </row>
    <row r="156" spans="1:11" x14ac:dyDescent="0.2">
      <c r="F156" s="108"/>
    </row>
    <row r="157" spans="1:11" x14ac:dyDescent="0.2">
      <c r="E157" s="109"/>
      <c r="J157" s="110"/>
      <c r="K157" s="110"/>
    </row>
    <row r="158" spans="1:11" x14ac:dyDescent="0.2">
      <c r="A158" s="108"/>
      <c r="E158" s="108"/>
      <c r="F158" s="111"/>
    </row>
    <row r="159" spans="1:11" x14ac:dyDescent="0.2">
      <c r="A159" s="108"/>
      <c r="B159" s="112"/>
      <c r="E159" s="108"/>
      <c r="F159" s="108"/>
      <c r="G159" s="113"/>
      <c r="H159" s="113"/>
      <c r="I159" s="113"/>
      <c r="J159" s="51"/>
    </row>
    <row r="160" spans="1:11" x14ac:dyDescent="0.2">
      <c r="A160" s="108"/>
      <c r="B160" s="111"/>
      <c r="F160" s="108"/>
    </row>
    <row r="161" spans="1:11" x14ac:dyDescent="0.2">
      <c r="A161" s="108"/>
      <c r="B161" s="114"/>
      <c r="D161" s="51"/>
      <c r="F161" s="108"/>
      <c r="G161" s="109"/>
      <c r="H161" s="109"/>
      <c r="I161" s="109"/>
      <c r="K161" s="110"/>
    </row>
    <row r="162" spans="1:11" x14ac:dyDescent="0.2">
      <c r="B162" s="115"/>
      <c r="G162" s="110"/>
      <c r="H162" s="110"/>
      <c r="I162" s="110"/>
      <c r="J162" s="110"/>
      <c r="K162" s="110"/>
    </row>
    <row r="163" spans="1:11" x14ac:dyDescent="0.2">
      <c r="A163" s="108"/>
      <c r="F163" s="108"/>
    </row>
    <row r="166" spans="1:11" x14ac:dyDescent="0.2">
      <c r="F166" s="108"/>
    </row>
    <row r="167" spans="1:11" x14ac:dyDescent="0.2">
      <c r="E167" s="109"/>
      <c r="J167" s="110"/>
      <c r="K167" s="110"/>
    </row>
    <row r="168" spans="1:11" x14ac:dyDescent="0.2">
      <c r="A168" s="108"/>
      <c r="E168" s="108"/>
      <c r="F168" s="111"/>
    </row>
    <row r="169" spans="1:11" x14ac:dyDescent="0.2">
      <c r="A169" s="108"/>
      <c r="B169" s="112"/>
      <c r="E169" s="108"/>
      <c r="F169" s="108"/>
      <c r="G169" s="113"/>
      <c r="H169" s="113"/>
      <c r="I169" s="113"/>
      <c r="J169" s="51"/>
    </row>
    <row r="170" spans="1:11" x14ac:dyDescent="0.2">
      <c r="A170" s="108"/>
      <c r="B170" s="111"/>
      <c r="F170" s="108"/>
    </row>
    <row r="171" spans="1:11" x14ac:dyDescent="0.2">
      <c r="A171" s="108"/>
      <c r="B171" s="114"/>
      <c r="D171" s="51"/>
      <c r="F171" s="108"/>
      <c r="G171" s="109"/>
      <c r="H171" s="109"/>
      <c r="I171" s="109"/>
      <c r="K171" s="110"/>
    </row>
    <row r="172" spans="1:11" x14ac:dyDescent="0.2">
      <c r="B172" s="115"/>
      <c r="G172" s="110"/>
      <c r="H172" s="110"/>
      <c r="I172" s="110"/>
      <c r="J172" s="110"/>
      <c r="K172" s="110"/>
    </row>
    <row r="173" spans="1:11" x14ac:dyDescent="0.2">
      <c r="A173" s="108"/>
      <c r="F173" s="108"/>
    </row>
    <row r="176" spans="1:11" x14ac:dyDescent="0.2">
      <c r="F176" s="108"/>
    </row>
    <row r="177" spans="1:11" x14ac:dyDescent="0.2">
      <c r="E177" s="109"/>
      <c r="J177" s="110"/>
      <c r="K177" s="110"/>
    </row>
    <row r="178" spans="1:11" x14ac:dyDescent="0.2">
      <c r="A178" s="108"/>
      <c r="E178" s="108"/>
      <c r="F178" s="111"/>
    </row>
    <row r="179" spans="1:11" ht="6" customHeight="1" x14ac:dyDescent="0.2">
      <c r="A179" s="108"/>
      <c r="B179" s="112"/>
      <c r="E179" s="108"/>
      <c r="F179" s="108"/>
      <c r="G179" s="113"/>
      <c r="H179" s="113"/>
      <c r="I179" s="113"/>
      <c r="J179" s="51"/>
    </row>
    <row r="180" spans="1:11" x14ac:dyDescent="0.2">
      <c r="A180" s="108"/>
      <c r="B180" s="111"/>
      <c r="F180" s="108"/>
    </row>
    <row r="181" spans="1:11" x14ac:dyDescent="0.2">
      <c r="A181" s="108"/>
      <c r="B181" s="114"/>
      <c r="D181" s="51"/>
      <c r="F181" s="108"/>
      <c r="G181" s="109"/>
      <c r="H181" s="109"/>
      <c r="I181" s="109"/>
      <c r="K181" s="110"/>
    </row>
    <row r="182" spans="1:11" x14ac:dyDescent="0.2">
      <c r="B182" s="115"/>
      <c r="G182" s="110"/>
      <c r="H182" s="110"/>
      <c r="I182" s="110"/>
      <c r="J182" s="110"/>
      <c r="K182" s="110"/>
    </row>
    <row r="183" spans="1:11" x14ac:dyDescent="0.2">
      <c r="A183" s="108"/>
      <c r="F183" s="108"/>
    </row>
    <row r="186" spans="1:11" x14ac:dyDescent="0.2">
      <c r="F186" s="108"/>
    </row>
    <row r="187" spans="1:11" x14ac:dyDescent="0.2">
      <c r="E187" s="109"/>
      <c r="J187" s="110"/>
      <c r="K187" s="110"/>
    </row>
    <row r="188" spans="1:11" x14ac:dyDescent="0.2">
      <c r="A188" s="108"/>
      <c r="E188" s="108"/>
      <c r="F188" s="111"/>
    </row>
    <row r="189" spans="1:11" x14ac:dyDescent="0.2">
      <c r="A189" s="108"/>
      <c r="B189" s="112"/>
      <c r="E189" s="108"/>
      <c r="F189" s="108"/>
      <c r="G189" s="113"/>
      <c r="H189" s="113"/>
      <c r="I189" s="113"/>
      <c r="J189" s="51"/>
    </row>
    <row r="190" spans="1:11" x14ac:dyDescent="0.2">
      <c r="A190" s="108"/>
      <c r="B190" s="111"/>
      <c r="F190" s="108"/>
    </row>
    <row r="191" spans="1:11" x14ac:dyDescent="0.2">
      <c r="A191" s="108"/>
      <c r="B191" s="114"/>
      <c r="D191" s="51"/>
      <c r="F191" s="108"/>
      <c r="G191" s="109"/>
      <c r="H191" s="109"/>
      <c r="I191" s="109"/>
      <c r="K191" s="110"/>
    </row>
    <row r="192" spans="1:11" x14ac:dyDescent="0.2">
      <c r="B192" s="115"/>
      <c r="G192" s="110"/>
      <c r="H192" s="110"/>
      <c r="I192" s="110"/>
      <c r="J192" s="110"/>
      <c r="K192" s="110"/>
    </row>
    <row r="193" spans="1:11" x14ac:dyDescent="0.2">
      <c r="A193" s="108"/>
      <c r="F193" s="108"/>
    </row>
    <row r="196" spans="1:11" x14ac:dyDescent="0.2">
      <c r="F196" s="108"/>
    </row>
    <row r="197" spans="1:11" x14ac:dyDescent="0.2">
      <c r="E197" s="109"/>
      <c r="J197" s="110"/>
      <c r="K197" s="110"/>
    </row>
    <row r="198" spans="1:11" x14ac:dyDescent="0.2">
      <c r="A198" s="108"/>
      <c r="E198" s="108"/>
      <c r="F198" s="111"/>
    </row>
    <row r="199" spans="1:11" x14ac:dyDescent="0.2">
      <c r="A199" s="108"/>
      <c r="B199" s="112"/>
      <c r="E199" s="108"/>
      <c r="F199" s="108"/>
      <c r="G199" s="113"/>
      <c r="H199" s="113"/>
      <c r="I199" s="113"/>
      <c r="J199" s="51"/>
    </row>
    <row r="200" spans="1:11" x14ac:dyDescent="0.2">
      <c r="A200" s="108"/>
      <c r="B200" s="111"/>
      <c r="F200" s="108"/>
    </row>
    <row r="201" spans="1:11" x14ac:dyDescent="0.2">
      <c r="A201" s="108"/>
      <c r="B201" s="114"/>
      <c r="D201" s="51"/>
      <c r="F201" s="108"/>
      <c r="G201" s="109"/>
      <c r="H201" s="109"/>
      <c r="I201" s="109"/>
      <c r="K201" s="110"/>
    </row>
    <row r="202" spans="1:11" x14ac:dyDescent="0.2">
      <c r="B202" s="115"/>
      <c r="G202" s="110"/>
      <c r="H202" s="110"/>
      <c r="I202" s="110"/>
      <c r="J202" s="110"/>
      <c r="K202" s="110"/>
    </row>
    <row r="203" spans="1:11" x14ac:dyDescent="0.2">
      <c r="A203" s="108"/>
      <c r="F203" s="108"/>
    </row>
    <row r="206" spans="1:11" x14ac:dyDescent="0.2">
      <c r="F206" s="108"/>
    </row>
    <row r="207" spans="1:11" x14ac:dyDescent="0.2">
      <c r="E207" s="109"/>
      <c r="J207" s="110"/>
      <c r="K207" s="110"/>
    </row>
    <row r="208" spans="1:11" x14ac:dyDescent="0.2">
      <c r="A208" s="108"/>
      <c r="E208" s="108"/>
      <c r="F208" s="111"/>
    </row>
    <row r="209" spans="1:11" x14ac:dyDescent="0.2">
      <c r="A209" s="108"/>
      <c r="B209" s="112"/>
      <c r="E209" s="108"/>
      <c r="F209" s="108"/>
      <c r="G209" s="113"/>
      <c r="H209" s="113"/>
      <c r="I209" s="113"/>
      <c r="J209" s="51"/>
    </row>
    <row r="210" spans="1:11" x14ac:dyDescent="0.2">
      <c r="A210" s="108"/>
      <c r="B210" s="111"/>
      <c r="F210" s="108"/>
    </row>
    <row r="211" spans="1:11" x14ac:dyDescent="0.2">
      <c r="A211" s="108"/>
      <c r="B211" s="114"/>
      <c r="D211" s="51"/>
      <c r="F211" s="108"/>
      <c r="G211" s="109"/>
      <c r="H211" s="109"/>
      <c r="I211" s="109"/>
      <c r="K211" s="110"/>
    </row>
    <row r="212" spans="1:11" x14ac:dyDescent="0.2">
      <c r="B212" s="115"/>
      <c r="G212" s="110"/>
      <c r="H212" s="110"/>
      <c r="I212" s="110"/>
      <c r="J212" s="110"/>
      <c r="K212" s="110"/>
    </row>
    <row r="213" spans="1:11" x14ac:dyDescent="0.2">
      <c r="A213" s="108"/>
      <c r="F213" s="108"/>
    </row>
    <row r="216" spans="1:11" x14ac:dyDescent="0.2">
      <c r="F216" s="108"/>
    </row>
    <row r="217" spans="1:11" x14ac:dyDescent="0.2">
      <c r="E217" s="109"/>
      <c r="J217" s="110"/>
      <c r="K217" s="110"/>
    </row>
    <row r="218" spans="1:11" x14ac:dyDescent="0.2">
      <c r="A218" s="108"/>
      <c r="E218" s="108"/>
      <c r="F218" s="111"/>
    </row>
    <row r="219" spans="1:11" x14ac:dyDescent="0.2">
      <c r="A219" s="108"/>
      <c r="B219" s="112"/>
      <c r="E219" s="108"/>
      <c r="F219" s="108"/>
      <c r="G219" s="113"/>
      <c r="H219" s="113"/>
      <c r="I219" s="113"/>
      <c r="J219" s="51"/>
    </row>
    <row r="220" spans="1:11" x14ac:dyDescent="0.2">
      <c r="A220" s="108"/>
      <c r="B220" s="111"/>
      <c r="F220" s="108"/>
    </row>
    <row r="221" spans="1:11" x14ac:dyDescent="0.2">
      <c r="A221" s="108"/>
      <c r="B221" s="114"/>
      <c r="D221" s="51"/>
      <c r="F221" s="108"/>
      <c r="G221" s="109"/>
      <c r="H221" s="109"/>
      <c r="I221" s="109"/>
      <c r="K221" s="110"/>
    </row>
  </sheetData>
  <mergeCells count="71">
    <mergeCell ref="A1:B2"/>
    <mergeCell ref="C1:K2"/>
    <mergeCell ref="L1:M2"/>
    <mergeCell ref="Q1:R1"/>
    <mergeCell ref="S1:T1"/>
    <mergeCell ref="P2:U2"/>
    <mergeCell ref="A3:B3"/>
    <mergeCell ref="C3:G3"/>
    <mergeCell ref="H3:J3"/>
    <mergeCell ref="K3:M3"/>
    <mergeCell ref="Q3:S3"/>
    <mergeCell ref="U4:U5"/>
    <mergeCell ref="K7:M11"/>
    <mergeCell ref="K12:L14"/>
    <mergeCell ref="M12:M14"/>
    <mergeCell ref="K15:L17"/>
    <mergeCell ref="M15:M17"/>
    <mergeCell ref="K4:M6"/>
    <mergeCell ref="S4:T5"/>
    <mergeCell ref="K21:K23"/>
    <mergeCell ref="L21:M23"/>
    <mergeCell ref="K24:K26"/>
    <mergeCell ref="L24:M26"/>
    <mergeCell ref="A27:B27"/>
    <mergeCell ref="D27:E30"/>
    <mergeCell ref="F27:G30"/>
    <mergeCell ref="H27:I30"/>
    <mergeCell ref="J27:K30"/>
    <mergeCell ref="L27:M30"/>
    <mergeCell ref="A4:J26"/>
    <mergeCell ref="K18:K20"/>
    <mergeCell ref="L18:M20"/>
    <mergeCell ref="B30:C30"/>
    <mergeCell ref="D31:E38"/>
    <mergeCell ref="F31:G38"/>
    <mergeCell ref="H31:I31"/>
    <mergeCell ref="J31:K31"/>
    <mergeCell ref="H32:I32"/>
    <mergeCell ref="J32:K32"/>
    <mergeCell ref="J55:K55"/>
    <mergeCell ref="D63:E70"/>
    <mergeCell ref="F63:G70"/>
    <mergeCell ref="D39:E46"/>
    <mergeCell ref="F39:G46"/>
    <mergeCell ref="H39:I39"/>
    <mergeCell ref="J39:K39"/>
    <mergeCell ref="D47:E54"/>
    <mergeCell ref="F47:G54"/>
    <mergeCell ref="H47:I47"/>
    <mergeCell ref="J47:K47"/>
    <mergeCell ref="D87:E94"/>
    <mergeCell ref="F87:G94"/>
    <mergeCell ref="H87:I87"/>
    <mergeCell ref="D55:E62"/>
    <mergeCell ref="F55:G62"/>
    <mergeCell ref="H55:I55"/>
    <mergeCell ref="D71:E78"/>
    <mergeCell ref="F71:G78"/>
    <mergeCell ref="H71:I71"/>
    <mergeCell ref="D79:E86"/>
    <mergeCell ref="F79:G86"/>
    <mergeCell ref="A104:C104"/>
    <mergeCell ref="A111:B112"/>
    <mergeCell ref="C111:K112"/>
    <mergeCell ref="L111:M112"/>
    <mergeCell ref="D95:E102"/>
    <mergeCell ref="F95:G102"/>
    <mergeCell ref="H95:I95"/>
    <mergeCell ref="D103:E110"/>
    <mergeCell ref="F103:G110"/>
    <mergeCell ref="H103:I103"/>
  </mergeCells>
  <printOptions horizontalCentered="1" verticalCentered="1"/>
  <pageMargins left="0.19685039370078741" right="0.19685039370078741" top="0" bottom="3.937007874015748E-2" header="0" footer="0"/>
  <pageSetup paperSize="9" scale="50" orientation="portrait" r:id="rId1"/>
  <headerFooter alignWithMargins="0"/>
  <rowBreaks count="1" manualBreakCount="1">
    <brk id="110" max="12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F8CD-1E34-461D-A7CF-E1E83DAA1C97}">
  <dimension ref="A1:P50"/>
  <sheetViews>
    <sheetView view="pageBreakPreview" zoomScaleNormal="100" zoomScaleSheetLayoutView="100" workbookViewId="0">
      <selection activeCell="G6" sqref="G6:L58"/>
    </sheetView>
  </sheetViews>
  <sheetFormatPr baseColWidth="10" defaultColWidth="11.42578125" defaultRowHeight="12.75" x14ac:dyDescent="0.2"/>
  <cols>
    <col min="1" max="1" width="18.42578125" style="20" customWidth="1"/>
    <col min="2" max="2" width="8" style="20" customWidth="1"/>
    <col min="3" max="5" width="9.140625" style="20" customWidth="1"/>
    <col min="6" max="6" width="11.7109375" style="20" customWidth="1"/>
    <col min="7" max="7" width="12.28515625" style="20" customWidth="1"/>
    <col min="8" max="8" width="20.28515625" style="20" customWidth="1"/>
    <col min="9" max="13" width="11.42578125" style="20"/>
    <col min="14" max="15" width="9.85546875" style="20" customWidth="1"/>
    <col min="16" max="16" width="19.7109375" style="20" customWidth="1"/>
    <col min="17" max="16384" width="11.42578125" style="20"/>
  </cols>
  <sheetData>
    <row r="1" spans="1:16" ht="19.149999999999999" customHeight="1" x14ac:dyDescent="0.25">
      <c r="A1" s="673" t="s">
        <v>29</v>
      </c>
      <c r="B1" s="674"/>
      <c r="C1" s="674"/>
      <c r="D1" s="674"/>
      <c r="E1" s="674"/>
      <c r="F1" s="684" t="str">
        <f>'CROQUIS '!G2</f>
        <v>Fabricant : EV FASHION</v>
      </c>
      <c r="G1" s="674"/>
      <c r="H1" s="675"/>
      <c r="I1" s="673" t="s">
        <v>29</v>
      </c>
      <c r="J1" s="674"/>
      <c r="K1" s="674"/>
      <c r="L1" s="674"/>
      <c r="M1" s="674"/>
      <c r="N1" s="684" t="str">
        <f>F1</f>
        <v>Fabricant : EV FASHION</v>
      </c>
      <c r="O1" s="674"/>
      <c r="P1" s="675"/>
    </row>
    <row r="2" spans="1:16" ht="16.899999999999999" customHeight="1" x14ac:dyDescent="0.2">
      <c r="A2" s="685" t="s">
        <v>43</v>
      </c>
      <c r="B2" s="686"/>
      <c r="C2" s="686"/>
      <c r="D2" s="686"/>
      <c r="E2" s="686"/>
      <c r="F2" s="686"/>
      <c r="G2" s="686"/>
      <c r="H2" s="687"/>
      <c r="I2" s="685" t="s">
        <v>42</v>
      </c>
      <c r="J2" s="686"/>
      <c r="K2" s="686"/>
      <c r="L2" s="686"/>
      <c r="M2" s="686"/>
      <c r="N2" s="686"/>
      <c r="O2" s="686"/>
      <c r="P2" s="687"/>
    </row>
    <row r="3" spans="1:16" ht="16.899999999999999" customHeight="1" x14ac:dyDescent="0.2">
      <c r="A3" s="688"/>
      <c r="B3" s="689"/>
      <c r="C3" s="689"/>
      <c r="D3" s="689"/>
      <c r="E3" s="689"/>
      <c r="F3" s="689"/>
      <c r="G3" s="686"/>
      <c r="H3" s="690"/>
      <c r="I3" s="688"/>
      <c r="J3" s="689"/>
      <c r="K3" s="689"/>
      <c r="L3" s="689"/>
      <c r="M3" s="689"/>
      <c r="N3" s="689"/>
      <c r="O3" s="686"/>
      <c r="P3" s="690"/>
    </row>
    <row r="4" spans="1:16" ht="13.15" customHeight="1" x14ac:dyDescent="0.2">
      <c r="A4" s="676" t="str">
        <f>'CROQUIS '!E5</f>
        <v>Thème :  1EVA32</v>
      </c>
      <c r="B4" s="669"/>
      <c r="C4" s="679" t="str">
        <f>'CROQUIS '!G5</f>
        <v>Modèle : V09413 BELL</v>
      </c>
      <c r="D4" s="668"/>
      <c r="E4" s="669"/>
      <c r="F4" s="668" t="s">
        <v>40</v>
      </c>
      <c r="G4" s="669"/>
      <c r="H4" s="671" t="str">
        <f>'CROQUIS '!C5</f>
        <v>Saison : 26H</v>
      </c>
      <c r="I4" s="676" t="str">
        <f>A4</f>
        <v>Thème :  1EVA32</v>
      </c>
      <c r="J4" s="669"/>
      <c r="K4" s="679" t="str">
        <f>C4</f>
        <v>Modèle : V09413 BELL</v>
      </c>
      <c r="L4" s="668"/>
      <c r="M4" s="669"/>
      <c r="N4" s="668" t="str">
        <f>F4</f>
        <v>Collection: VB</v>
      </c>
      <c r="O4" s="669"/>
      <c r="P4" s="671" t="str">
        <f>H4</f>
        <v>Saison : 26H</v>
      </c>
    </row>
    <row r="5" spans="1:16" ht="13.9" customHeight="1" thickBot="1" x14ac:dyDescent="0.25">
      <c r="A5" s="677"/>
      <c r="B5" s="678"/>
      <c r="C5" s="680"/>
      <c r="D5" s="681"/>
      <c r="E5" s="678"/>
      <c r="F5" s="681"/>
      <c r="G5" s="678"/>
      <c r="H5" s="671"/>
      <c r="I5" s="682"/>
      <c r="J5" s="670"/>
      <c r="K5" s="683"/>
      <c r="L5" s="513"/>
      <c r="M5" s="670"/>
      <c r="N5" s="513"/>
      <c r="O5" s="670"/>
      <c r="P5" s="672"/>
    </row>
    <row r="6" spans="1:16" ht="15" x14ac:dyDescent="0.25">
      <c r="A6" s="673"/>
      <c r="B6" s="674"/>
      <c r="C6" s="674"/>
      <c r="D6" s="674"/>
      <c r="E6" s="674"/>
      <c r="F6" s="674"/>
      <c r="G6" s="674"/>
      <c r="H6" s="675"/>
      <c r="I6" s="673"/>
      <c r="J6" s="674"/>
      <c r="K6" s="674"/>
      <c r="L6" s="674"/>
      <c r="M6" s="674"/>
      <c r="N6" s="674"/>
      <c r="O6" s="674"/>
      <c r="P6" s="674"/>
    </row>
    <row r="7" spans="1:16" x14ac:dyDescent="0.2">
      <c r="A7" s="146"/>
      <c r="H7" s="147"/>
      <c r="I7" s="146"/>
    </row>
    <row r="8" spans="1:16" x14ac:dyDescent="0.2">
      <c r="A8" s="146"/>
      <c r="H8" s="147"/>
      <c r="I8" s="146"/>
    </row>
    <row r="9" spans="1:16" x14ac:dyDescent="0.2">
      <c r="A9" s="146"/>
      <c r="H9" s="147"/>
      <c r="I9" s="146"/>
    </row>
    <row r="10" spans="1:16" x14ac:dyDescent="0.2">
      <c r="A10" s="146"/>
      <c r="H10" s="147"/>
      <c r="I10" s="146"/>
    </row>
    <row r="11" spans="1:16" x14ac:dyDescent="0.2">
      <c r="A11" s="146"/>
      <c r="H11" s="147"/>
      <c r="I11" s="146"/>
    </row>
    <row r="12" spans="1:16" x14ac:dyDescent="0.2">
      <c r="A12" s="146"/>
      <c r="H12" s="147"/>
      <c r="I12" s="146"/>
    </row>
    <row r="13" spans="1:16" x14ac:dyDescent="0.2">
      <c r="A13" s="146"/>
      <c r="H13" s="147"/>
      <c r="I13" s="146"/>
    </row>
    <row r="14" spans="1:16" x14ac:dyDescent="0.2">
      <c r="A14" s="146"/>
      <c r="H14" s="147"/>
      <c r="I14" s="146"/>
    </row>
    <row r="15" spans="1:16" x14ac:dyDescent="0.2">
      <c r="A15" s="146"/>
      <c r="H15" s="147"/>
      <c r="I15" s="146"/>
    </row>
    <row r="16" spans="1:16" x14ac:dyDescent="0.2">
      <c r="A16" s="146"/>
      <c r="H16" s="147"/>
      <c r="I16" s="146"/>
    </row>
    <row r="17" spans="1:9" x14ac:dyDescent="0.2">
      <c r="A17" s="146"/>
      <c r="H17" s="147"/>
      <c r="I17" s="146"/>
    </row>
    <row r="18" spans="1:9" x14ac:dyDescent="0.2">
      <c r="A18" s="146"/>
      <c r="H18" s="147"/>
      <c r="I18" s="146"/>
    </row>
    <row r="19" spans="1:9" x14ac:dyDescent="0.2">
      <c r="A19" s="146"/>
      <c r="H19" s="147"/>
      <c r="I19" s="146"/>
    </row>
    <row r="20" spans="1:9" x14ac:dyDescent="0.2">
      <c r="A20" s="146"/>
      <c r="H20" s="147"/>
      <c r="I20" s="146"/>
    </row>
    <row r="21" spans="1:9" x14ac:dyDescent="0.2">
      <c r="A21" s="146"/>
      <c r="H21" s="147"/>
      <c r="I21" s="146"/>
    </row>
    <row r="22" spans="1:9" x14ac:dyDescent="0.2">
      <c r="A22" s="146"/>
      <c r="H22" s="147"/>
      <c r="I22" s="146"/>
    </row>
    <row r="23" spans="1:9" x14ac:dyDescent="0.2">
      <c r="A23" s="146"/>
      <c r="H23" s="147"/>
      <c r="I23" s="146"/>
    </row>
    <row r="24" spans="1:9" x14ac:dyDescent="0.2">
      <c r="A24" s="146"/>
      <c r="H24" s="147"/>
      <c r="I24" s="146"/>
    </row>
    <row r="25" spans="1:9" x14ac:dyDescent="0.2">
      <c r="A25" s="146"/>
      <c r="H25" s="147"/>
      <c r="I25" s="146"/>
    </row>
    <row r="26" spans="1:9" x14ac:dyDescent="0.2">
      <c r="A26" s="146"/>
      <c r="H26" s="147"/>
      <c r="I26" s="146"/>
    </row>
    <row r="27" spans="1:9" x14ac:dyDescent="0.2">
      <c r="A27" s="146"/>
      <c r="H27" s="147"/>
      <c r="I27" s="146"/>
    </row>
    <row r="28" spans="1:9" x14ac:dyDescent="0.2">
      <c r="A28" s="146"/>
      <c r="H28" s="147"/>
      <c r="I28" s="146"/>
    </row>
    <row r="29" spans="1:9" x14ac:dyDescent="0.2">
      <c r="A29" s="146"/>
      <c r="H29" s="147"/>
      <c r="I29" s="146"/>
    </row>
    <row r="30" spans="1:9" x14ac:dyDescent="0.2">
      <c r="A30" s="146"/>
      <c r="H30" s="147"/>
      <c r="I30" s="146"/>
    </row>
    <row r="31" spans="1:9" x14ac:dyDescent="0.2">
      <c r="A31" s="146"/>
      <c r="H31" s="147"/>
      <c r="I31" s="146"/>
    </row>
    <row r="32" spans="1:9" x14ac:dyDescent="0.2">
      <c r="A32" s="146"/>
      <c r="H32" s="147"/>
      <c r="I32" s="146"/>
    </row>
    <row r="33" spans="1:9" x14ac:dyDescent="0.2">
      <c r="A33" s="146"/>
      <c r="H33" s="147"/>
      <c r="I33" s="146"/>
    </row>
    <row r="34" spans="1:9" x14ac:dyDescent="0.2">
      <c r="A34" s="146"/>
      <c r="H34" s="147"/>
      <c r="I34" s="146"/>
    </row>
    <row r="35" spans="1:9" x14ac:dyDescent="0.2">
      <c r="A35" s="146"/>
      <c r="H35" s="147"/>
      <c r="I35" s="146"/>
    </row>
    <row r="36" spans="1:9" x14ac:dyDescent="0.2">
      <c r="A36" s="146"/>
      <c r="H36" s="147"/>
      <c r="I36" s="146"/>
    </row>
    <row r="37" spans="1:9" x14ac:dyDescent="0.2">
      <c r="A37" s="146"/>
      <c r="H37" s="147"/>
      <c r="I37" s="146"/>
    </row>
    <row r="38" spans="1:9" x14ac:dyDescent="0.2">
      <c r="A38" s="146"/>
      <c r="H38" s="147"/>
      <c r="I38" s="146"/>
    </row>
    <row r="39" spans="1:9" x14ac:dyDescent="0.2">
      <c r="A39" s="146"/>
      <c r="H39" s="147"/>
      <c r="I39" s="146"/>
    </row>
    <row r="40" spans="1:9" x14ac:dyDescent="0.2">
      <c r="A40" s="146"/>
      <c r="H40" s="147"/>
      <c r="I40" s="146"/>
    </row>
    <row r="41" spans="1:9" x14ac:dyDescent="0.2">
      <c r="A41" s="146"/>
      <c r="H41" s="147"/>
      <c r="I41" s="146"/>
    </row>
    <row r="42" spans="1:9" x14ac:dyDescent="0.2">
      <c r="A42" s="146"/>
      <c r="H42" s="147"/>
      <c r="I42" s="146"/>
    </row>
    <row r="43" spans="1:9" ht="15.6" customHeight="1" x14ac:dyDescent="0.2">
      <c r="A43" s="146"/>
      <c r="H43" s="147"/>
      <c r="I43" s="146"/>
    </row>
    <row r="44" spans="1:9" ht="15.6" customHeight="1" x14ac:dyDescent="0.2">
      <c r="A44" s="146"/>
      <c r="H44" s="147"/>
      <c r="I44" s="146"/>
    </row>
    <row r="45" spans="1:9" ht="49.9" customHeight="1" x14ac:dyDescent="0.2">
      <c r="A45" s="146"/>
      <c r="H45" s="147"/>
      <c r="I45" s="146"/>
    </row>
    <row r="46" spans="1:9" ht="50.45" customHeight="1" x14ac:dyDescent="0.2">
      <c r="A46" s="146"/>
      <c r="H46" s="147"/>
      <c r="I46" s="146"/>
    </row>
    <row r="47" spans="1:9" ht="52.15" customHeight="1" x14ac:dyDescent="0.2">
      <c r="A47" s="146"/>
      <c r="H47" s="147"/>
      <c r="I47" s="146"/>
    </row>
    <row r="48" spans="1:9" ht="43.9" customHeight="1" x14ac:dyDescent="0.2">
      <c r="A48" s="146"/>
      <c r="H48" s="147"/>
      <c r="I48" s="146"/>
    </row>
    <row r="49" spans="1:8" ht="45.6" customHeight="1" thickBot="1" x14ac:dyDescent="0.25">
      <c r="A49" s="148"/>
      <c r="B49" s="149"/>
      <c r="C49" s="149"/>
      <c r="D49" s="149"/>
      <c r="E49" s="149"/>
      <c r="F49" s="149"/>
      <c r="G49" s="149"/>
      <c r="H49" s="150"/>
    </row>
    <row r="50" spans="1:8" ht="56.45" customHeight="1" x14ac:dyDescent="0.2"/>
  </sheetData>
  <mergeCells count="16">
    <mergeCell ref="A1:E1"/>
    <mergeCell ref="F1:H1"/>
    <mergeCell ref="I1:M1"/>
    <mergeCell ref="N1:P1"/>
    <mergeCell ref="A2:H3"/>
    <mergeCell ref="I2:P3"/>
    <mergeCell ref="N4:O5"/>
    <mergeCell ref="P4:P5"/>
    <mergeCell ref="A6:H6"/>
    <mergeCell ref="I6:P6"/>
    <mergeCell ref="A4:B5"/>
    <mergeCell ref="C4:E5"/>
    <mergeCell ref="F4:G5"/>
    <mergeCell ref="H4:H5"/>
    <mergeCell ref="I4:J5"/>
    <mergeCell ref="K4:M5"/>
  </mergeCells>
  <pageMargins left="0.7" right="0.7" top="0.75" bottom="0.75" header="0.3" footer="0.3"/>
  <pageSetup paperSize="9" scale="85" orientation="portrait" r:id="rId1"/>
  <colBreaks count="1" manualBreakCount="1">
    <brk id="8" max="48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9202E55897244B5A5AB9127139B6C" ma:contentTypeVersion="19" ma:contentTypeDescription="Crée un document." ma:contentTypeScope="" ma:versionID="74366670d7311d665ae680192dd99386">
  <xsd:schema xmlns:xsd="http://www.w3.org/2001/XMLSchema" xmlns:xs="http://www.w3.org/2001/XMLSchema" xmlns:p="http://schemas.microsoft.com/office/2006/metadata/properties" xmlns:ns2="2ae210dd-6e53-4a95-874d-a389835fd18a" xmlns:ns3="ba0a7673-ed1f-4d71-a96d-06a30f77d0ed" targetNamespace="http://schemas.microsoft.com/office/2006/metadata/properties" ma:root="true" ma:fieldsID="78b7c0e505d95c6cb0faa562720aa680" ns2:_="" ns3:_="">
    <xsd:import namespace="2ae210dd-6e53-4a95-874d-a389835fd18a"/>
    <xsd:import namespace="ba0a7673-ed1f-4d71-a96d-06a30f77d0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210dd-6e53-4a95-874d-a389835fd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0b30371a-c6a2-405e-91cd-4f549b8313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a7673-ed1f-4d71-a96d-06a30f77d0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7ac36c-56ed-4793-83e7-9be4ac2facc1}" ma:internalName="TaxCatchAll" ma:showField="CatchAllData" ma:web="ba0a7673-ed1f-4d71-a96d-06a30f77d0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e210dd-6e53-4a95-874d-a389835fd18a">
      <Terms xmlns="http://schemas.microsoft.com/office/infopath/2007/PartnerControls"/>
    </lcf76f155ced4ddcb4097134ff3c332f>
    <TaxCatchAll xmlns="ba0a7673-ed1f-4d71-a96d-06a30f77d0ed" xsi:nil="true"/>
  </documentManagement>
</p:properties>
</file>

<file path=customXml/itemProps1.xml><?xml version="1.0" encoding="utf-8"?>
<ds:datastoreItem xmlns:ds="http://schemas.openxmlformats.org/officeDocument/2006/customXml" ds:itemID="{2AE59BA8-5775-4D67-B64A-047ABC23ED1D}"/>
</file>

<file path=customXml/itemProps2.xml><?xml version="1.0" encoding="utf-8"?>
<ds:datastoreItem xmlns:ds="http://schemas.openxmlformats.org/officeDocument/2006/customXml" ds:itemID="{FB866D56-2A84-44A1-BB18-C786DD82DF6C}"/>
</file>

<file path=customXml/itemProps3.xml><?xml version="1.0" encoding="utf-8"?>
<ds:datastoreItem xmlns:ds="http://schemas.openxmlformats.org/officeDocument/2006/customXml" ds:itemID="{CD660662-DBBD-401C-9A93-8212024B60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11</vt:i4>
      </vt:variant>
    </vt:vector>
  </HeadingPairs>
  <TitlesOfParts>
    <vt:vector size="22" baseType="lpstr">
      <vt:lpstr>CROQUIS </vt:lpstr>
      <vt:lpstr>FICHE NORMALISATION</vt:lpstr>
      <vt:lpstr>FICHE COMMENTAIRES</vt:lpstr>
      <vt:lpstr>Fiche technique </vt:lpstr>
      <vt:lpstr>Mesure&amp;Grada - 36</vt:lpstr>
      <vt:lpstr>Mesure&amp;Grada - S</vt:lpstr>
      <vt:lpstr>Mesure&amp;Grada - XS.S M.L</vt:lpstr>
      <vt:lpstr>Prise Mesures </vt:lpstr>
      <vt:lpstr>BOM</vt:lpstr>
      <vt:lpstr>FCM</vt:lpstr>
      <vt:lpstr>Labelling </vt:lpstr>
      <vt:lpstr>BOM!Zone_d_impression</vt:lpstr>
      <vt:lpstr>'CROQUIS '!Zone_d_impression</vt:lpstr>
      <vt:lpstr>FCM!Zone_d_impression</vt:lpstr>
      <vt:lpstr>'FICHE COMMENTAIRES'!Zone_d_impression</vt:lpstr>
      <vt:lpstr>'FICHE NORMALISATION'!Zone_d_impression</vt:lpstr>
      <vt:lpstr>'Fiche technique '!Zone_d_impression</vt:lpstr>
      <vt:lpstr>'Labelling '!Zone_d_impression</vt:lpstr>
      <vt:lpstr>'Mesure&amp;Grada - 36'!Zone_d_impression</vt:lpstr>
      <vt:lpstr>'Mesure&amp;Grada - S'!Zone_d_impression</vt:lpstr>
      <vt:lpstr>'Mesure&amp;Grada - XS.S M.L'!Zone_d_impression</vt:lpstr>
      <vt:lpstr>'Prise Mesures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Martinet</dc:creator>
  <cp:lastModifiedBy>Sylvia Cuevas</cp:lastModifiedBy>
  <cp:lastPrinted>2026-02-23T10:36:07Z</cp:lastPrinted>
  <dcterms:created xsi:type="dcterms:W3CDTF">2004-06-01T15:07:48Z</dcterms:created>
  <dcterms:modified xsi:type="dcterms:W3CDTF">2026-02-23T10:36:39Z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0x01010054A9202E55897244B5A5AB9127139B6C</vt:lpwstr>
  </property>
</Properties>
</file>